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ull_v0" sheetId="1" r:id="rId4"/>
    <sheet state="visible" name="Full" sheetId="2" r:id="rId5"/>
  </sheets>
  <definedNames>
    <definedName hidden="1" localSheetId="0" name="_xlnm._FilterDatabase">Full_v0!$A$1:$Z$426</definedName>
    <definedName hidden="1" localSheetId="1" name="_xlnm._FilterDatabase">Full!$A$1:$AI$518</definedName>
  </definedNames>
  <calcPr/>
  <extLst>
    <ext uri="GoogleSheetsCustomDataVersion2">
      <go:sheetsCustomData xmlns:go="http://customooxmlschemas.google.com/" r:id="rId6" roundtripDataChecksum="D3Jt+B9T3K9CFhaxmTT6r+Owy9SHU6wuAwQ9w8LROpI="/>
    </ext>
  </extLst>
</workbook>
</file>

<file path=xl/sharedStrings.xml><?xml version="1.0" encoding="utf-8"?>
<sst xmlns="http://schemas.openxmlformats.org/spreadsheetml/2006/main" count="10794" uniqueCount="2023">
  <si>
    <t>action_index</t>
  </si>
  <si>
    <t>community_index</t>
  </si>
  <si>
    <t>community</t>
  </si>
  <si>
    <t>plan_id</t>
  </si>
  <si>
    <t>agency</t>
  </si>
  <si>
    <t>short_description</t>
  </si>
  <si>
    <t>action_description</t>
  </si>
  <si>
    <t>action category(s)</t>
  </si>
  <si>
    <t>Shorthand</t>
  </si>
  <si>
    <t>Shorthand v2</t>
  </si>
  <si>
    <t xml:space="preserve">Theme </t>
  </si>
  <si>
    <t xml:space="preserve">Sub-Theme </t>
  </si>
  <si>
    <t xml:space="preserve">Sub-Sub Theme 1 </t>
  </si>
  <si>
    <t>Sub-Sub Theme 2</t>
  </si>
  <si>
    <t>Refinement</t>
  </si>
  <si>
    <t>al</t>
  </si>
  <si>
    <t>al_2021_cerp</t>
  </si>
  <si>
    <t>ad</t>
  </si>
  <si>
    <t>The goal of this measure is to reduce children’s exposure to unhealthy air by increasing the participation and engagement of schools in the Healthy Air Living (HAL) Schools program.</t>
  </si>
  <si>
    <t>outreach and community engagement</t>
  </si>
  <si>
    <t>Increase Participation in Healthy Air Living Schools Program</t>
  </si>
  <si>
    <t>incentives</t>
  </si>
  <si>
    <t>air quality</t>
  </si>
  <si>
    <t>schools</t>
  </si>
  <si>
    <t>The goal of this strategy is to increase community awareness of available tools to keep informed of real-time changes in air quality, clean air efforts and how communities can get involved through multi-lingual educational campaigns, videos and partner workshops.</t>
  </si>
  <si>
    <t>Increase Community Awareness on Air Quality Tools - Multilingual</t>
  </si>
  <si>
    <t>Education</t>
  </si>
  <si>
    <t>mulitlingual</t>
  </si>
  <si>
    <t>The goal of this strategy is to reduce NOx and PM2.5</t>
  </si>
  <si>
    <t>The goal of this strategy is to reduce NOx and PM2.5 emissions from residential lawn and garden equipment by replacing existing gas powered units with battery powered zero emission models.</t>
  </si>
  <si>
    <t>incentives; outreach and community engagement</t>
  </si>
  <si>
    <t>Incentives to Replace Residential Lawn and Garden Equipment</t>
  </si>
  <si>
    <t xml:space="preserve">lawn and garden equipment </t>
  </si>
  <si>
    <t xml:space="preserve">residential </t>
  </si>
  <si>
    <t>The goal of this strategy is to reduce NOx and PM2.5 emissions from commercial landscaping operations, in the Arvin/Lamont AB 617 community, by replacing existing gas powered equipment with battery powered zero emission models.</t>
  </si>
  <si>
    <t>Incentives to Replace Commercial Lawn and Garden Equipment</t>
  </si>
  <si>
    <t>commercial</t>
  </si>
  <si>
    <t>This strategy would provide enhanced outreach and access to incentive funding for zero and near-zero emissions, clean truck technologies that are domiciled and operating within the community.</t>
  </si>
  <si>
    <t>agriculture; transportation and mobile sources</t>
  </si>
  <si>
    <t>Incentives and Outreach for Truck Replacement</t>
  </si>
  <si>
    <t>Incentives for Truck Replacement (Heavy Duty, Box, Yard Diesel Trucks, Refrigeration Units)</t>
  </si>
  <si>
    <t>Incentives</t>
  </si>
  <si>
    <t>transportation</t>
  </si>
  <si>
    <t>vehicle replacement</t>
  </si>
  <si>
    <t>trucks</t>
  </si>
  <si>
    <t>To provide increased outreach and access to incentive funding for the replacement of older, high polluting school buses with new zero-emission school buses servicing the Arvin/Lamont community.</t>
  </si>
  <si>
    <t>Incentive and Outreach for School Buses</t>
  </si>
  <si>
    <t>Incentives for School Buses</t>
  </si>
  <si>
    <t>Incentives; Outreach</t>
  </si>
  <si>
    <t>school buses</t>
  </si>
  <si>
    <t>electrification</t>
  </si>
  <si>
    <t>The goal of this strategy is to reduce emissions associated with passenger vehicles by replacing 200 vehicles with newer, more fuel-efficient models, and providing additional incentives for Level 2 residential chargers in the Arvin/Lamont community.</t>
  </si>
  <si>
    <t>Incentives for Passenger Vehicle Replacement</t>
  </si>
  <si>
    <t>Transportation</t>
  </si>
  <si>
    <t xml:space="preserve">vehicle replacement </t>
  </si>
  <si>
    <t>The goal of this strategy is to reduce emissions of high emitting passenger vehicles that may be in need of repair by providing funding for up to five (5) “Drive Clean in the San Joaquin” Repair Program events within the Arvin/Lamont AB 617 community.</t>
  </si>
  <si>
    <t>Incentives for Passenger Vehicle Repair</t>
  </si>
  <si>
    <t>vehicle repairs</t>
  </si>
  <si>
    <t>The goal of this strategy is to limit the potential for localized PM2.5</t>
  </si>
  <si>
    <t>The goal of this strategy is to limit the potential for localized PM2.5 impacts associated with open agricultural burning by providing enhanced access to funding for the District’s Alternatives to Agricultural Open Burning Incentive Program for growers within Arvin/Lamont community.</t>
  </si>
  <si>
    <t>Increase Funding for Agricultural Open Burning Incentive Program</t>
  </si>
  <si>
    <t>Incentives for Open Burning Agriculture Alternatives</t>
  </si>
  <si>
    <t>agriculture</t>
  </si>
  <si>
    <t>burning</t>
  </si>
  <si>
    <t>replacement</t>
  </si>
  <si>
    <t>This measure will provide increased outreach and access to incentive funding for the replacement of older, high polluting agricultural equipment (e.g. tractors) operating within and surrounding Arvin/Lamont with new, cleaner equipment through the District’s existing Heavy-Duty Engine Incentive Program.</t>
  </si>
  <si>
    <t>Incentive and Outreach for Agricultural Equipment</t>
  </si>
  <si>
    <t>Incentives for Agricultural Equipment</t>
  </si>
  <si>
    <t xml:space="preserve">General Diesel Agriculture Tech </t>
  </si>
  <si>
    <t>The purpose of this measure is to assess current roads, sidewalks and bike path infrastructure needs; to support community identified priority projects; and to seek out additional funding opportunities to make the community more bike and walk friendly.</t>
  </si>
  <si>
    <t>land use; agriculture</t>
  </si>
  <si>
    <t>Funding to Improve Roads, Sidewalks, Bike Paths</t>
  </si>
  <si>
    <t>services</t>
  </si>
  <si>
    <t xml:space="preserve">street modification </t>
  </si>
  <si>
    <t>The purpose of this strategy is to provide incentives for the installation and maintenance of vegetative barriers around sources of concern to reduce particulate matter, odor, and other emissions, as feasible.</t>
  </si>
  <si>
    <t>Land Use; Agriculture</t>
  </si>
  <si>
    <t>Incentives for Vegetative Barriers/Urban Greening</t>
  </si>
  <si>
    <t>urban greening</t>
  </si>
  <si>
    <t>The purpose of this strategy is to identify and support efforts to increase urban greening to improve air quality for residents in the Arvin and Lamont communities.</t>
  </si>
  <si>
    <t>Outreach and Education on Air Quality</t>
  </si>
  <si>
    <t>Collaboration for Urban Greening/Vegetative Barriers</t>
  </si>
  <si>
    <t xml:space="preserve">Collaboration </t>
  </si>
  <si>
    <t>cech</t>
  </si>
  <si>
    <t>cech_2018_cerp</t>
  </si>
  <si>
    <t>CARB proposed statewide measures that would result in emission reductions within the Corridor.</t>
  </si>
  <si>
    <t>CARB proposed statewide measures that would result in emission reductions within the Corridor.  These measures include: Advanced Clean Cars 2, Advanced Clean Truck, Heavy-Duty Inspection and Maintenance, Heavy Duty "Omnibus" Low NOx Engine Standard and Small Off-Road Engine Amendment; Zero-Emission Vehicle Fleet Rule.</t>
  </si>
  <si>
    <t>rules and regulations</t>
  </si>
  <si>
    <t>Statewide Electrification</t>
  </si>
  <si>
    <t>Statewide</t>
  </si>
  <si>
    <t xml:space="preserve">electrificaiton </t>
  </si>
  <si>
    <t>District to participate in the Woodsmoke Reduction Program administered by CARB.</t>
  </si>
  <si>
    <t xml:space="preserve">District to participate in the Woodsmoke Reduction Program administered by CARB.  Identification of three projects for replacement of residential wood burning devise with more efficient equipment. </t>
  </si>
  <si>
    <t>Incentives for Wood Burning Alternatives</t>
  </si>
  <si>
    <t xml:space="preserve">wood and illegal burning </t>
  </si>
  <si>
    <t xml:space="preserve">wood burning replacement </t>
  </si>
  <si>
    <t>District is proposing to replace 5 school buses with electric school buses between 2020 and 2025.</t>
  </si>
  <si>
    <t>Emission Reduction - General</t>
  </si>
  <si>
    <t>District is proposing to install air filtration systems on up to 240,000 square feet of building space at sensitive receptor locations including, but not limited to, schools and senior centers.</t>
  </si>
  <si>
    <t>Incentives for Air Filtration in Schools and Other Sensitive Receptors</t>
  </si>
  <si>
    <t xml:space="preserve">air filters </t>
  </si>
  <si>
    <t>other sensitive receptors</t>
  </si>
  <si>
    <t>District is proposing to fund parking lot paving projects within the Corridor, as funding permits.</t>
  </si>
  <si>
    <t>Funding to Improve Roads and Sidewalks</t>
  </si>
  <si>
    <t>funding</t>
  </si>
  <si>
    <t xml:space="preserve"> parking lot pavement </t>
  </si>
  <si>
    <t>District is proposing to assist as many schools as funding permits in the Corridor in implementing the School Flag Program.</t>
  </si>
  <si>
    <t>Funding for School Flag Program</t>
  </si>
  <si>
    <t>Services</t>
  </si>
  <si>
    <t xml:space="preserve">School Flag program </t>
  </si>
  <si>
    <t>District to partner with CARB to conduct education and outreach to reduce the amount of truck idling in the Corridor.</t>
  </si>
  <si>
    <t>transportation and mobile sources</t>
  </si>
  <si>
    <t>Education on Idling</t>
  </si>
  <si>
    <t>Collaboration</t>
  </si>
  <si>
    <t>truck</t>
  </si>
  <si>
    <t>truck idling</t>
  </si>
  <si>
    <t>District will monitor for and identify potential grant programs for urban greening projects.</t>
  </si>
  <si>
    <t>District will monitor for and identify potential grant programs for urban greening projects. Any funding obtained would be put towards projects sought under strategy M-2.</t>
  </si>
  <si>
    <t>Funding for Urban Greening</t>
  </si>
  <si>
    <t xml:space="preserve">community investment </t>
  </si>
  <si>
    <t xml:space="preserve">urban greening </t>
  </si>
  <si>
    <t>Creation of an area wide plan that identifies potential locations where urban greening projects could be implemented to mitigate air quality impacts to sensitive receptors.</t>
  </si>
  <si>
    <t>Creation of an area wide plan that identifies potential locations where urban greening projects could be implemented to mitigate air quality impacts to sensitive receptors.  This would inform the projects sought under strategy M-2.</t>
  </si>
  <si>
    <t>land use</t>
  </si>
  <si>
    <t>Outreach for Urban Greening</t>
  </si>
  <si>
    <t>elabhwc</t>
  </si>
  <si>
    <t>elabhwc_2018_cerp</t>
  </si>
  <si>
    <t>Engage in two incentive outreach events per year and provide biannual updates to the CSC.</t>
  </si>
  <si>
    <t>Engage in two incentive outreach events per year and provide biannual updates to the CSC. Achieve emission reductions through mobile source incentives and statewide mobile source regulation measures as specified in Chapter 5a</t>
  </si>
  <si>
    <t>Outreach for Transportation Incentive Measures</t>
  </si>
  <si>
    <t>Transportation Incentives and Regulations</t>
  </si>
  <si>
    <t xml:space="preserve">Education </t>
  </si>
  <si>
    <t>Engage in two public outreach events to explain the requirements of Rule 415, and how the public can report odor complaints.</t>
  </si>
  <si>
    <t>Engage in two public outreach events to explain the requirements of Rule 415, and how the public can report odor complaints. Conduct mobile air monitoring near each of the five facilities.</t>
  </si>
  <si>
    <t>industrial facilities and stationary sources</t>
  </si>
  <si>
    <t>Training on Complaints</t>
  </si>
  <si>
    <t>complaints</t>
  </si>
  <si>
    <t>rule 415</t>
  </si>
  <si>
    <t>Explore the possibility of using ALPR and PEAQS systems in this community and prioritize locations for deployment based on community input.</t>
  </si>
  <si>
    <t>Explore the possibility of using ALPR and PEAQS systems in this community and prioritize locations for deployment based on community input. Once ALPR and PEAQS systems have been deployed, provide ALPR and PEAQS data to the City and County to work towards truck routes. Conduct initial set of air measurements using mobile platforms. Conduct a pilot study to test suitability of PEAQS system to support directing incentive funds and/or CARB enforcement actions. Provide quarterly or biannual updates to the CSC on progress made to collect and use data from these systems. Achieve emission reductions through mobile source incentives and statewide mobile source regulation measures as specified in Chapter 5a</t>
  </si>
  <si>
    <t>Outreach to Fund Transportation Incentives</t>
  </si>
  <si>
    <t>infrastructure development</t>
  </si>
  <si>
    <t>Organize two incentive outreach events per year and provide biannual updates to the CSC.</t>
  </si>
  <si>
    <t>Organize two incentive outreach events per year and provide biannual updates to the CSC. Provide biannual updates on CARB’s rule development for truck regulations, and seek community input on progress. Coordinate with CARB staff on using community priorities to focus future enforcement efforts. CARB will conduct enhanced roadside inspections utilizing CSC input to locate areas of concern. Achieve emission reductions through mobile source incentives and statewide mobile source regulation measures as specified in Chapter 5a.</t>
  </si>
  <si>
    <t>Collaborate with community-based organizations (e.g., AltaMed and COFEM) to provide information to the public on how to receive air quality advisories, and how to reduce exposure to air pollution, particularly for sensitive populations.</t>
  </si>
  <si>
    <t>Collaborate with community-based organizations (e.g., AltaMed and COFEM) to provide information to the public on how to receive air quality advisories, and how to reduce exposure to air pollution, particularly for sensitive populations. Participate in at least two public outreach events (e.g., health fair, Earth Week event) during the implementation period of this CERP at schools or childcare centers to provide information relating to air quality and reducing exposure. Provide information relating to air quality effects on young children and reducing exposure to facilities where children are located (e.g., schools, childcare centers, community centers, libraries, etc.), prioritizing based on CSC input during the implementation period of this CERP. Implement CARE and WHAM programs at least two schools in 2020, with possibility of continuing for up to three years. Work with appropriate entities to negotiate access to conduct school-based air monitoring for limited-term assessments.</t>
  </si>
  <si>
    <t xml:space="preserve">Community Protection </t>
  </si>
  <si>
    <t>Facilitate three training sessions to educate business owners and workers on applicable facility rules and best management practices.</t>
  </si>
  <si>
    <t>Facilitate three training sessions to educate business owners and workers on applicable facility rules and best management practices. Distribute information about the Small Business Assistance Program through targeted outreach to facilities and through community based events. Provide the CSC with biannual or quarterly updates on public outreach events and incentive opportunities</t>
  </si>
  <si>
    <t>Outreach and Education Event for Small Businesses</t>
  </si>
  <si>
    <t>small businesses</t>
  </si>
  <si>
    <t>Provide bi-annual updates and engage the CSC on new requirements and/or other measures being developed by CARB and South Coast AQMD.</t>
  </si>
  <si>
    <t>Provide bi-annual updates and engage the CSC on new requirements and/or other measures being developed by CARB and South Coast AQMD. Provide quarterly or annual updates to the CSC on air monitoring results
3. Replace diesel equipment at the railyards through incentive funding programs. Achieve emission reductions through mobile source incentives and statewide mobile source regulation measures as specified in Chapter 5a</t>
  </si>
  <si>
    <t>transportation and mobile sources; industrial facilities and stationary sources</t>
  </si>
  <si>
    <t>Incentives for Diesel Equipment Replacement</t>
  </si>
  <si>
    <t>Incentives for Diesel Equipment Replacement (Locomotive Engine, Switcher Locomotive, Railcar Movers)</t>
  </si>
  <si>
    <t>Install air filtration systems at schools, childcare centers, libraries, and community centers.</t>
  </si>
  <si>
    <t>Install air filtration systems at schools, childcare centers, libraries, and community centers. Facilitate input from the CSC on locations to install air filtration systems.</t>
  </si>
  <si>
    <t xml:space="preserve">Incentives </t>
  </si>
  <si>
    <t xml:space="preserve">air filtration </t>
  </si>
  <si>
    <t>other community locations</t>
  </si>
  <si>
    <t>Conduct inspections of each rendering facility in the community, and provide information about inspection results to CSC. Provide quarterly or biannual air monitoring and enforcement updates to the CSC and engage community stakeholders (e.g., community organizations) to attend CSC updates</t>
  </si>
  <si>
    <t>Enforcement and Updates for Stationary Source Inspection</t>
  </si>
  <si>
    <t>Enforcement</t>
  </si>
  <si>
    <t xml:space="preserve">odor complaints </t>
  </si>
  <si>
    <t xml:space="preserve">rule 415 </t>
  </si>
  <si>
    <t>Engage in two public outreach events to distribute information about the South Coast AQMD’s Small Business Assistance Program.</t>
  </si>
  <si>
    <t>Collaborate with local fire departments to inspect unpermitted auto body shops in the community and distribute pertinent outreach materials during the implementation period of this CERP. Provide the CSC quarterly or biannual updates on enforcement or outreach activities</t>
  </si>
  <si>
    <t>Collaboration with Fire Departments on Auto Body Shop Inspection</t>
  </si>
  <si>
    <t>auto body shop</t>
  </si>
  <si>
    <t>inspections</t>
  </si>
  <si>
    <t>Identify community partners to assist with outreach.</t>
  </si>
  <si>
    <t>Identify community partners (e.g., community centers, organizations, etc.) to assist with outreach. Engage in at least 2 outreach events in this community to provide information and training on how to file air quality complaints by phone, web, or mobile app (See also Action 4 below). If funding is obtained, conduct targeted advertising in this community for the 1-800-CUT-SMOG complaint line.</t>
  </si>
  <si>
    <t>industrial facilities and stationary sources; outreach and community engagement</t>
  </si>
  <si>
    <t>Collaboration with Community Partners for Outreach</t>
  </si>
  <si>
    <t xml:space="preserve">community Protection </t>
  </si>
  <si>
    <t>Partner with appropriate entities to determine new or existing programs that can provide home filtration systems.</t>
  </si>
  <si>
    <t>Partner with appropriate entities to determine new or existing programs that can provide home filtration systems. If funding or programs become available, share information with CSC.</t>
  </si>
  <si>
    <t xml:space="preserve">Collaboration for Residential Weatherization </t>
  </si>
  <si>
    <t>Collaboration for Residential Weatherization</t>
  </si>
  <si>
    <t xml:space="preserve">home weatherization </t>
  </si>
  <si>
    <t xml:space="preserve">Engage in two public outreach events to distribute information about the South Coast AQMD’s Small Business Assistance Program. Distribute outreach materials on an annual basis to auto body shops in this community to explain the requirements of Rules 402, 1151, and 1171 and South Coast AQMD’s complaint system. </t>
  </si>
  <si>
    <t>Collaboration and Outreach to Auto Body Shops</t>
  </si>
  <si>
    <t xml:space="preserve">rules, regulation, enforcement, and permitting </t>
  </si>
  <si>
    <t>rule 402, rule 1151, rule 1171</t>
  </si>
  <si>
    <t>Host one training course in the community and invite operators of each of the transfer stations; additional training courses can be organized if necessary.</t>
  </si>
  <si>
    <t xml:space="preserve">Host one training course in the community and invite operators of each of the transfer stations; additional training courses can be organized if necessary. Engage in at least 2 outreach events in this community to provide information and training on how to file air quality complaints by phone, web, or mobile app.  Outreach will include information about rules that apply to waste transfer stations (see also Action 2 above). Provide the CSC quarterly or biannual updates on outreach, enforcement, and monitoring activities. </t>
  </si>
  <si>
    <t xml:space="preserve"> complaints </t>
  </si>
  <si>
    <t>scfr</t>
  </si>
  <si>
    <t>scfr_2018_cerp</t>
  </si>
  <si>
    <t>Update enforcement strategies as appropriate.</t>
  </si>
  <si>
    <t>Update enforcement strategies as appropriate.  The District committed to evaluating the results of ongoing compliance activities within the South Central Fresno community and moving forward will work with the Community Steering Committee to update measures as appropriate.</t>
  </si>
  <si>
    <t>enforcement</t>
  </si>
  <si>
    <t>Update Enforcement</t>
  </si>
  <si>
    <t>update</t>
  </si>
  <si>
    <t>accessibility</t>
  </si>
  <si>
    <t>Support projects that reduce vehicle miles traveled (VMT).</t>
  </si>
  <si>
    <t>Support projects that reduce vehicle miles traveled (VMT).  Provide District support for projects that reduce VMT, including advocacy for competitive project proposals and potential match funding support to eligible projects, as appropriate, through existing District programs (i.e. bicycle path infrastructure, electric vehicle charging infrastructure, vanpooling and ridesharing).  The District is proposing to partner with City of Fresno to identify opportunities.</t>
  </si>
  <si>
    <t>land use; industrial facilities and stationary sources</t>
  </si>
  <si>
    <t>vehicles miles traveled</t>
  </si>
  <si>
    <t>Automobile idle-reduction outreach to reduce the exposure of sensitive receptors to vehicle emissions.</t>
  </si>
  <si>
    <t>Automobile idle-reduction outreach to reduce the exposure of sensitive receptors to vehicle emissions.  This strategy would provide and distribute 30 sets of bilingual English and Spanish idle-reduction street signs to be installed in locations that commonly serve sensitive groups throughout the community boundary.  SJVAPCD representatives would also develop and deliver 5 presentations about the impacts of vehicle exhaust and related District resources such as incentive funding for cleaner vehicles and school programs that deliver free idle-reduction signs to schools throughout the Valley.</t>
  </si>
  <si>
    <t>Outreach for Transportation Program and Idle Reduction Signage</t>
  </si>
  <si>
    <t>Outreach for Transportation Enforcement and Idle Reduction Signage</t>
  </si>
  <si>
    <t>idling</t>
  </si>
  <si>
    <t>incentive funding</t>
  </si>
  <si>
    <t>outreach</t>
  </si>
  <si>
    <t>cars</t>
  </si>
  <si>
    <t>Outreach to share clean air efforts and how communities can get involved.</t>
  </si>
  <si>
    <t>Outreach to share clean air efforts and how communities can get involved.  This strategy would increase awareness of programs by establishing a series of outreach events within South Central Fresno.  This strategy would also create an annual youth symposium to educate and encourage high school students to share air quality information with their peers, helping to sustain community awareness through future generations.  The annual goals for this strategy are: (a) attend/host 4 community meetings to share information and; (b) complete 1 community-targeted social media campaign.</t>
  </si>
  <si>
    <t>Outreach and Education on Air Quality for Youth</t>
  </si>
  <si>
    <t>compliants</t>
  </si>
  <si>
    <t>Outreach to increase the community awareness and knowledge of air quality.</t>
  </si>
  <si>
    <t>Outreach to increase the community awareness and knowledge of air quality.  This strategy would increase community awareness of available tools to keep informed of real-time changes in air quality through social media campaigns and a series of partner workshops. Social media campaigns would be launched on three platforms. A partnership with local civic and community organizations would be established to host workshops at locations commonly available to the public such as libraries, schools, and community, health, or recreation centers.  The annual goals for this strategy are: (a) attend/host 4 community meetings to share information; (b) complete 1 community-targeted social media campaign; and (c) circulation of infographics to at least 4 community spaces.</t>
  </si>
  <si>
    <t>Incentive program for the replacement of residential lawn and garden equipment.</t>
  </si>
  <si>
    <t>Incentive program for the replacement of residential lawn and garden equipment.  This strategy will provide South Central Fresno residents with increased incentives for the replacement of residential lawn care equipment, with an increased incentive amount for residents within the community. The goal is to replace 570 gas powered units at an expected cost of $200,000.</t>
  </si>
  <si>
    <t>agriculture; incentives</t>
  </si>
  <si>
    <t xml:space="preserve">Lawn and Garden </t>
  </si>
  <si>
    <t xml:space="preserve">Residential </t>
  </si>
  <si>
    <t>Commercial</t>
  </si>
  <si>
    <t>Incentive program for the replacement of commercial lawn and garden equipment.</t>
  </si>
  <si>
    <t>Incentive program for the replacement of commercial lawn and garden equipment.  This strategy will provide commercial lawn care providers operating in South Central Fresno with enhanced outreach and access to available incentives offered by the District.  The goal is to replace 60 pieces of commercial grade gas powered lawn and garden equipment at an expected cost of $75,000.</t>
  </si>
  <si>
    <t>Incentive program for the replacement of existing wood burning devices and pellet stoves with natural gas or electric technologies.</t>
  </si>
  <si>
    <t>Incentive program for the replacement of existing wood burning devices and pellet stoves with natural gas or electric technologies.  This strategy would provide enhanced financial incentives to replace existing wood burning devices and pellet stoves with natural gas or electric technologies.  Incentives available to South Central Fresno residents would include $3,000 for natural gas devices and $4,000 for an eligible electric heating device. The goal of this measure is to replace 500 wood burning devices in South Central Fresno with natural gas or electric alternatives at an expected cost of $1,500,000.</t>
  </si>
  <si>
    <t>burning; outreach and community engagement</t>
  </si>
  <si>
    <t xml:space="preserve">wood burning </t>
  </si>
  <si>
    <t>Incentive program for the installation of vegetative barriers around/near sources of concern.</t>
  </si>
  <si>
    <t>Incentive program for the installation of vegetative barriers around/near sources of concern.  The District will work closely with the community, City, California Department of Transportation, Natural Resource Conservation Service and others to investigate and identify areas suitable for installation of vegetative barriers.  The District will consider a funding match of up to $1,000,000 to leverage available state funding allocations for the deployment of vegetative barrier installations within the AB 617-selected community boundary.</t>
  </si>
  <si>
    <t>agriculture; land use</t>
  </si>
  <si>
    <t>Incentives for Vegetative Barriers</t>
  </si>
  <si>
    <t xml:space="preserve">Vegetative barriers </t>
  </si>
  <si>
    <t>Incentive program for the deployment of clean yard trucks, transportation refrigeration units, and relative infrastructure.</t>
  </si>
  <si>
    <t>Incentive program for the deployment of clean yard trucks, transportation refrigeration units, and relative infrastructure.  This strategy would provide incentive funding for operators to replace their diesel powered yard trucks or transport refrigeration units with zero emission technology.  The goal is to deploy 25 new zero emission yard trucks or transportation refrigeration units along with the associated infrastructure at a cost of $3,500,000.</t>
  </si>
  <si>
    <t>Incentives for Truck Replacement (Clean Yard Truck, Refrigeration Units)</t>
  </si>
  <si>
    <t>refrigeration</t>
  </si>
  <si>
    <t>Incentive program for heavy duty truck replacement with zero and near zero emission technology.</t>
  </si>
  <si>
    <t>Incentive program for heavy duty truck replacement with zero and near zero emission technology. This strategy would provide enhanced outreach and access to incentive funding for zero and near-zero emissions clean truck technologies that operate within the community.  This measure would replace 75 older, heavy duty diesel trucks operating in South Central Fresno with zero or near zero emission technology at an expected cost of $7,500,000.</t>
  </si>
  <si>
    <t>Incentives for Truck Replacement (Heavy Duty Diesel Trucks)</t>
  </si>
  <si>
    <t>Incentive program for installing solar in the community.</t>
  </si>
  <si>
    <t>Incentive program for installing solar in the community.  The District will help to coordinate meetings with entities that offer incentives for solar photovoltaic (PV) installation and other green energy programs that have the potential to reduce utility rates in the community.</t>
  </si>
  <si>
    <t>Incentives for Residential Solar</t>
  </si>
  <si>
    <t>Incentives for Solar Installation</t>
  </si>
  <si>
    <t>residential solar</t>
  </si>
  <si>
    <t>Incentive program for replacing older diesel school buses with zero or near zero emission buses.</t>
  </si>
  <si>
    <t>Incentive program for replacing older diesel school buses with zero or near zero emission buses.  The goal is to replace up to 16 school buses, operated by Fresno Unified School District, Fowler Unified School District and/or Central Unified School District with zero-emission battery-electric school buses. The proposed funding amount of $6,400,000 would cover up to 100% of the cost of replacing up to 16 diesel school buses with electric buses at $400,000 each.</t>
  </si>
  <si>
    <t>Incentive program for replacing older public fleet vehicles with new, clean-vehicle technology.</t>
  </si>
  <si>
    <t>Incentive program for replacing older public fleet vehicles with new, clean-vehicle technology.  The goal is to work closely with public agencies, including City of Fresno and Fresno County, to replace vehicles through the District’s Public Benefit Grants Program. This includes increased outreach to public agencies operating vehicles within the community as well as prioritized funding for projects in the community.  The proposed funding amount of $8,000,000 would cover the replacement of up to 400 vehicles at an incentive of $20,000 each.</t>
  </si>
  <si>
    <t>Incentives and Outreach for Public Vehicle Replacement</t>
  </si>
  <si>
    <t>Incentive program for the replacement of passenger vehicles with battery electric or plug-in hybrid vehicles.</t>
  </si>
  <si>
    <t>Incentive program for the replacement of passenger vehicles with battery electric or plug-in hybrid vehicles.  This strategy would provide incentive funding to South Central Fresno residents to replace their older vehicles with newer, cleaner and more fuel efficient vehicles including conventional gas powered vehicles, hybrid, plug in hybrid and battery electric vehicles.  Enhanced outreach would be conducted in the South Central Fresno community to ensure that residents are fully aware of available incentive options and community residents would be provided priority access through the program. This measure would provide $1,600,000 for the replacement of 220 vehicles.</t>
  </si>
  <si>
    <t xml:space="preserve">Incentives for Passenger Vehicle Replacement </t>
  </si>
  <si>
    <t>passenger vehicles replacement</t>
  </si>
  <si>
    <t>Incentive program to host a local Tune In Tune Up event to reduce emissions from older, high polluting cars.</t>
  </si>
  <si>
    <t>Incentive program to host a local Tune In Tune Up event to reduce emissions from older, high polluting cars.  This strategy would provide funding for a "Tune In Tune Up" event in the community of South Central Fresno and funding for vehicle repairs (up to $850 in vehicle emissions related repairs). The overall cost of this measure is $1,000,000 which would provide funding for the event related expenses as well as 1250 vehicle repairs.</t>
  </si>
  <si>
    <t>passenger vehicles repair</t>
  </si>
  <si>
    <t>repairs</t>
  </si>
  <si>
    <t>Incentive program for deploying on-field alternatives to the open burning of agricultural materials.</t>
  </si>
  <si>
    <t>Incentive program for deploying on-field alternatives to the open burning of agricultural materials.  This strategy would provide enhanced access to District’s Alternative to Agricultural Open Burning Incentive Program for growers within South Central Fresno and the surrounding area by providing access to $375,000 in dedicated funding. This strategy would fund up to 700 acres of alternative practices.</t>
  </si>
  <si>
    <t>agriculture; burning</t>
  </si>
  <si>
    <t xml:space="preserve">Open-buring agriculture alternatives </t>
  </si>
  <si>
    <t>Incentive program to reduce idling of heavy duty trucks within the community: charging infrastructure.</t>
  </si>
  <si>
    <t>Incentive program to reduce idling of heavy duty trucks within the community: charging infrastructure.  This strategy would provide incentive funding to install electric charging infrastructure at distribution centers, warehouse, and other types of freight facilities where heavy duty diesel trucks are being loaded or unloaded.  This measure would reduce emissions from the idling of these vehicles during this activity by providing $100,000 for the installation of 33 plugs.</t>
  </si>
  <si>
    <t>Incentives for Electric Charing Infrastructure</t>
  </si>
  <si>
    <t>Incentives for Electric Vehicle Charging Infrastructure</t>
  </si>
  <si>
    <t xml:space="preserve">transportation </t>
  </si>
  <si>
    <t>electrification infrastructure</t>
  </si>
  <si>
    <t>Incentive program for educational training for electric vehicle mechanics.</t>
  </si>
  <si>
    <t>Incentive program for educational training for electric vehicle mechanics.  This strategy would provide up to $75,000 for 5 alternative fuel mechanic training course provided by an appropriate entity. Additional outreach will be conducted to identify projects that would provide a benefit to the South Central Fresno community.</t>
  </si>
  <si>
    <t xml:space="preserve">Incentives for Educational Training for Electric Vehicles </t>
  </si>
  <si>
    <t>Incentives for Educational Training for Electric Vehicles</t>
  </si>
  <si>
    <t>training</t>
  </si>
  <si>
    <t>Incentive program for replacing older diesel locomotives with new clean engine technology.</t>
  </si>
  <si>
    <t>Incentive program for replacing older diesel locomotives with new clean engine technology. The goal is to replace up to 2 older, high-polluting locomotives operating within the community.  The proposed funding amount of $5,200,000 would cover up to 95% of the cost of replacing up to 2 diesel locomotives at $2,600,000 each.</t>
  </si>
  <si>
    <t>Incentives for Diesel Locomotive Replacement</t>
  </si>
  <si>
    <t>locomotives</t>
  </si>
  <si>
    <t>Incentive program for replacing older diesel railcar movers and switcher locomotives with new clean-engine technology.</t>
  </si>
  <si>
    <t>Incentive program for replacing older diesel railcar movers and switcher locomotives with new clean-engine technology.  The goal is to replace up to 3 older, high-polluting railcar movers and/or switcher locomotives operating within and surrounding the community.  The proposed funding amount of $4,100,000 would cover up to 95% of the cost of replacing up to 3 diesel railcar movers and/or switcher locomotives at $1,340,875 each.</t>
  </si>
  <si>
    <t>Incentives for Diesel Railcar Movers Replacement</t>
  </si>
  <si>
    <t>Incentive program to install advanced air filtration systems in community schools.</t>
  </si>
  <si>
    <t>Incentive program to install advanced air filtration systems in community schools.  This strategy would provide up to $1,500,000 in incentive funding for schools and daycares in South Central Fresno to install advanced air filtration systems.  Proposed funding amounts would provide up to 55 local schools with funding to install HVAC filters with a MERV rating of 14 or greater.</t>
  </si>
  <si>
    <t>Incentives for Air Filtration in Schools</t>
  </si>
  <si>
    <t>HVAC</t>
  </si>
  <si>
    <t>Enhanced enforcement of district Regulation VIII on fugitive dust requirements.</t>
  </si>
  <si>
    <t>Enhanced enforcement of district Regulation VIII on fugitive dust requirements.  Building on the District’s existing surveillance and complaint response efforts, the District will conduct at least one targeted enforcement effort within the South Central Fresno community during both the 2nd and 3rd quarters for the next five years.</t>
  </si>
  <si>
    <t>dust; transportation and mobile sources</t>
  </si>
  <si>
    <t>Enforcement of Fugitive Dust Requirement</t>
  </si>
  <si>
    <t xml:space="preserve">Enforcement </t>
  </si>
  <si>
    <t>Fugutive Dust rule VII</t>
  </si>
  <si>
    <t>Enhanced enforcement of wood-burning curtailments under District Rule 4901.</t>
  </si>
  <si>
    <t>Enhanced enforcement of wood-burning curtailments under District Rule 4901.  District staff will allocate additional resources toward the enforcement of District Rule 4901 episodic curtailment requirements in the South Central Fresno community.  District staff will conduct at least 4 hours of surveillance within the South Central Fresno community on each declared curtailment day for the next 5 winter seasons. The District will work with the Community Steering Committee to focus surveillance efforts in areas where wood burning is more prevalent.</t>
  </si>
  <si>
    <t>Enforcement for Wood Burning</t>
  </si>
  <si>
    <t>Enhanced enforcement to reduce illegal burning of residential waste.</t>
  </si>
  <si>
    <t>Enhanced enforcement to reduce illegal burning of residential waste.  The District will conduct additional targeted surveillance efforts in the community at least once per quarter for the next 5 years. The District will work with the steering committee to focus surveillance in areas where illegal residential open burning has historically occurred.</t>
  </si>
  <si>
    <t>Enforcement for Illegal Burning of Residential Waste</t>
  </si>
  <si>
    <t xml:space="preserve">illegal buring of residential waste </t>
  </si>
  <si>
    <t>Reduce illegal burning through residential open burning education.</t>
  </si>
  <si>
    <t>Reduce illegal burning through residential open burning education.  This strategy would establish a series of 5 public workshops to educate South Central Fresno residents about the illegality and health impacts of burning waste, and to address questions and concerns interactively and accessibly within a forum setting.  This strategy would also invest funds into geo-targeted outdoor ads in areas with frequent violations, including 4 billboards, 3 pieces of street furniture (such as bus shelters or kiosks), and 2 buses routed through relevant locations. Additionally, 2 postcard mailers would be sent to county residents in rural areas</t>
  </si>
  <si>
    <t xml:space="preserve">Education on Residential Open Burning </t>
  </si>
  <si>
    <t>Education on Residential Open Burning</t>
  </si>
  <si>
    <t xml:space="preserve">burning </t>
  </si>
  <si>
    <t xml:space="preserve">residential burning </t>
  </si>
  <si>
    <t>preventative</t>
  </si>
  <si>
    <t>Enhanced enforcement of the statewide anti-idling regulation.</t>
  </si>
  <si>
    <t>Enhanced enforcement of the statewide anti-idling regulation.  The District will partner with CARB to conduct additional targeted anti-idling enforcement efforts in the South Central Fresno community at least once per quarter for the next 5 years. The District and CARB will work with the Community Steering Committee to identify heavy-duty vehicle idling “hot spots,” especially those near schools, to aid in focusing the enforcement efforts.</t>
  </si>
  <si>
    <t xml:space="preserve">Enforcement of Idling </t>
  </si>
  <si>
    <t>regulation</t>
  </si>
  <si>
    <t>Heavy duty truck rerouting.</t>
  </si>
  <si>
    <t>Heavy duty truck rerouting.  The District will work with the City, County, Caltrans, and all other appropriate land-use and transportation agencies to communicate Steering Committee suggestion that heavy duty trucks be rerouted off of Jensen Avenue to other streets to reduce emissions exposure of South Central Fresno community residents.</t>
  </si>
  <si>
    <t>Collaboration to Reroute Heavy Duty Diesel Trucks</t>
  </si>
  <si>
    <t>collaboration</t>
  </si>
  <si>
    <t>rerouting</t>
  </si>
  <si>
    <t>Road paving improvements.</t>
  </si>
  <si>
    <t xml:space="preserve">Road paving improvements.  The District will partner with the City of Fresno and Fresno County to notify them as grant funding opportunities for road paving, road resurfacing, and sidewalk improvements become available. The District will provide support to the City and County in grant applications through letters of support and technical support, as requested.  </t>
  </si>
  <si>
    <t>Collaboration to Improve Roads and Sidewalks</t>
  </si>
  <si>
    <t xml:space="preserve">collaboration </t>
  </si>
  <si>
    <t>Increased urban greening and forestry to improve air quality.</t>
  </si>
  <si>
    <t>Increased urban greening and forestry to improve air quality.  The goal is to identify and support efforts to increase urban greening and forestry to improve air quality and overall quality of life for residents in the community of South Central Fresno.  The District has begun outreach efforts with Tree Fresno and Relief California to identify available funding sources to support urban greening projects. The District will consider a funding match to support urban greening projects, contingent on state funding allocations to support new urban greening projects within the AB 617-selected community boundary.</t>
  </si>
  <si>
    <t>urban greening projects</t>
  </si>
  <si>
    <t>Street sweeping.</t>
  </si>
  <si>
    <t>Street sweeping.  The District, through partnerships with other entities (including City of Fresno, Fresno County, and Fresno Council of Governments), will work to identify opportunities to identify street sweeping efforts in the community.</t>
  </si>
  <si>
    <t>Collaboration for Street Sweeping</t>
  </si>
  <si>
    <t>street sweep</t>
  </si>
  <si>
    <t>sdpc</t>
  </si>
  <si>
    <t>sdpc_2019_cerp</t>
  </si>
  <si>
    <t>Provide training on best practices for ship repair contractors; Navy will assess emission changes from increased ship repair operations at NBSD.</t>
  </si>
  <si>
    <t>ports</t>
  </si>
  <si>
    <t>Training for Ship Repair</t>
  </si>
  <si>
    <t>port</t>
  </si>
  <si>
    <t>Technology Upgrade / Replacement Incentive for Ships+</t>
  </si>
  <si>
    <t>Implement a regulatory process to amend District Rule 1210, which includes industry and community partners, to obtain input on and analyze reducing the toxic air pollution significance threshold.</t>
  </si>
  <si>
    <t>Implement a regulatory process to amend District Rule 1210 (Toxic Air Contaminant Public Health Risks - Public Notification and Risk Reduction), which includes industry and community partners, to obtain input on and analyze reducing the toxic air pollution significance threshold with the intent of improving public health.</t>
  </si>
  <si>
    <t>Regulations for District Rule 1210, Toxic Air Contaminant Public Health Risks</t>
  </si>
  <si>
    <t>Goal</t>
  </si>
  <si>
    <t>Rule 1210</t>
  </si>
  <si>
    <t xml:space="preserve">air monitoring </t>
  </si>
  <si>
    <t>Reduce total emissions from employee transportation associated with travel to and from the base.</t>
  </si>
  <si>
    <t>Reduce Emissions for Employee Transportation at the Port</t>
  </si>
  <si>
    <t>Technology Upgrade / Replacement Incentives on Land</t>
  </si>
  <si>
    <t>Work with the CSC and the public to identify and prioritize opportunities that could benefit from incentive funding.</t>
  </si>
  <si>
    <t>Work with the CSC and the public to identify and prioritize opportunities that could benefit from incentive funding. Work with CARB to increase flexibility to provide funding for other projects in the Portside community through the Community Air Protection Incentives Guideline process. Potential flexibilities include: Modified cost-effectiveness limits for zero-emission Moyer-type projects; Eligibility for new purchase without scrappage requirements; Eligibility for supporting infrastructure; Provide mechanism for funding pilot projects to demonstrate new technologies; Eligibility for projects to reduce exposure including indoor air filtration, tree and vegetation plantings; Eligibility for projects that reduce emission from passenger car use, including incentives for zero and near-zero emission vehicles, transit passes, bicycle, and pedestrian projects, and others; Consideration of proximity of emissions to sensitive receptors, such as schools.</t>
  </si>
  <si>
    <t>Evaluate the current air quality complaint process; Provide a recommended plan for updating the process including 24-hour hotline, response to complaints within 48 hours or less, whistle-blower and public complainant protections, a bilingual hotline and a user-friendly smart phone application in order to report truck idling, evaluate the APCD air quality complaint form in the “Tell Us Now” smart phone application to ensure it meets the needs of the community, evaluate the feasibility of allowing users to file their complaint related to truck idling or truck route utilizing the “Tell Us Now” application and have the truck route complaints forwarded to the City of San Diego.</t>
  </si>
  <si>
    <t>enforcement; outreach and community engagement</t>
  </si>
  <si>
    <t>Outreach for Truck Idling Reporting</t>
  </si>
  <si>
    <t>complaint</t>
  </si>
  <si>
    <t>Establish a formal procedure to implement robust stakeholder outreach and educational component on a biannual basis; Improve street truck signage regarding designated truck route.</t>
  </si>
  <si>
    <t>Establish a formal procedure to implement robust stakeholder outreach and educational component on a biannual basis; Improve street truck signage regarding designated truck route. Recommend asking the City of San Diego to post on its website a map showing the routes for prohibited/allowable truck route. Implement Harbor Drive 2.0 Improvements to facilitate the dedicated truck route and to reduce stop/go truck diesel emissions at key intersections (HDMCS project #64) (consider incorporating wireless charging technology in this concept); Reinstitute aggressive enforcement of designated Truck Haul route and keep the Barrio Logan CPG updated on enforcement efforts; Install signage, especially around sensitive receptors; Enforcement of Truck Route (City of San Diego and National City);  Update the City of San Diego’s “Get It Done” application to include truck route complaints. Evaluating the feasibility of allowing users to file their complaint related to truck idling or truck route utilizing this application and have the idling complaints forwarded to the APCD.</t>
  </si>
  <si>
    <t>transportation and mobile sources; ports</t>
  </si>
  <si>
    <t>truck signage</t>
  </si>
  <si>
    <t>Incentive program for zero and near-zero vehicles for low income residents; Implement EV charging infrastructure incentive program; Support improvements to pedestrian, bicycle, shared mobility, and transit infrastructure</t>
  </si>
  <si>
    <t>Implement incentive program for zero and near-zero vehicles for low income residents in disadvantaged communities (Clean Cars 4 All or similar); Implement EV charging infrastructure incentive program (CALeVIP); Coordinate with other jurisdictions and agencies to support improvements to pedestrian, bicycle, shared mobility services, and transit infrastructure</t>
  </si>
  <si>
    <t>Introduce indoor air filtration system technologies to school districts; Prioritize incentive funding to support ZEV buses &amp; charging infrastructure; Establish collaboration with school districts to pursue funding opportunities; Pursue grant funding opportunities.</t>
  </si>
  <si>
    <t>Incentives for air filtration in schools</t>
  </si>
  <si>
    <t>air filtration</t>
  </si>
  <si>
    <t>Develop and implement a residential air filtration and air monitoring program for up to 1,000 residents of the Portside Community</t>
  </si>
  <si>
    <t>Incentives for air filtration in homes</t>
  </si>
  <si>
    <t>Incentives for Air Filtration in Homes</t>
  </si>
  <si>
    <t>residential air filtration</t>
  </si>
  <si>
    <t>Formalize a SEP program to fund community-based projects from a portion of penalties received under the District’s Violation Settlement Program.</t>
  </si>
  <si>
    <t>Formalize a SEP program to fund community-based projects from a portion of penalties received under the District’s Violation Settlement Program by: Developing a SEP policy, which would include the appropriate criteria to qualify for these projects; Publishing the SEP policy and projects proposed by community members and stakeholders on the District’s website; Discussing SEP options through the District’s Violation Settlement Program.</t>
  </si>
  <si>
    <t>Funding from Penalties for Community-Based Projects</t>
  </si>
  <si>
    <t>penalties</t>
  </si>
  <si>
    <t>Increase number of truck parking facilities and electric charging facilities.</t>
  </si>
  <si>
    <t>Funding for Electric Vehicle Charing Infrastructure at the Port</t>
  </si>
  <si>
    <t>Funding for Electric Vehicle Charging Infrastructure at the Port</t>
  </si>
  <si>
    <t>Facilitate upgrading and/or replacing diesel emitting CHE with ZE CHE at the Port’s marine terminals.</t>
  </si>
  <si>
    <t>Facilitate upgrading and/or replacing diesel emitting CHE with ZE CHE at the Port’s marine terminals. Port staff will encourage the use of ZE technology and will help assess the feasibility of ZE equipment when it is scheduled to be upgraded. If electric cargo handling equipment is not feasible, Port staff shall demonstrate the legal, technological, operational, and/or financial constraints to zero emission equipment implementation; Ensure new CHE is compatible with operational needs of end users; Ensure CHE has been vetted by end user; Port staff will establish Zero Emission / Near Zero Emission goals for 2030 in the Maritime Clean Air Strategy (MCAS); Port staff will develop recommendations to require the best available CHE technology in the Maritime Clean Air Strategy (MCAS)</t>
  </si>
  <si>
    <t>Enforcement and Incentives for Cargo Handling Equipment and Port Equipment</t>
  </si>
  <si>
    <t>Technology Upgrade / Replacement on Land</t>
  </si>
  <si>
    <t>Evaluating the feasibility of expanding enforcement of truck idling regulations within the Portside Community.</t>
  </si>
  <si>
    <t>Enforcement of Idling</t>
  </si>
  <si>
    <t>Truck diversion to prevent trucks from driving onto Beardsley St.</t>
  </si>
  <si>
    <t>Truck diversion to prevent trucks from driving onto Beardsley St. as they exit I-5 South on Cesar Chavez exit. Divert trucks to Cesar Chavez Parkway to access Tenth Avenue Marine Terminal.</t>
  </si>
  <si>
    <t>Work with the County of San Diego Health and Human Services Agency (HHSA) to evaluate the feasibility of conducting a health equity assessments for Portside communities in order to inform CERP health outcomes; Work with SANDAG to evaluate the feasibility of developing a framework to identify and assess significant health impacts within the Portside communities, analyze the relationship between these health issues and the built environment, and evaluate impacts of major transportation strategies in the CERP; Leverage SANDAG’s 2012 Healthy Communities Atlas to inform future health equity studies.</t>
  </si>
  <si>
    <t>Work with the County of San Diego Health and Human Services Agency (HHSA) to evaluate the feasibility of conducting a health equity assessments for Portside communities in order to inform CERP health outcomes; Work with SANDAG to evaluate the feasibility of developing a framework to identify and assess significant health impacts within the Portside communities, analyze the relationship between these health issues and the built environment, and evaluate impacts of major transportation strategies in the CERP; Leverage SANDAG’s 2012 Healthy Communities Atlas to inform future health equity studies. Pursue all grant funding opportunities (such as: Caltrans Planning Grant, other planning grants, or grants for public health); Support the development of polices to require a minimum of 25% of new affordable housing units be designated affordable in AB617 area.</t>
  </si>
  <si>
    <t>Collaboration to Achieve Health Equity</t>
  </si>
  <si>
    <t>Health studies</t>
  </si>
  <si>
    <t>Support National City Pepper Park Expansion; Pursue all grant funding opportunities; Support the development of New Urban Green Spaces in National City; Support the creation of urban green spaces ; Support the proposal for urban greening along Cesar Chavez parkway</t>
  </si>
  <si>
    <t>Support National City Pepper Park Expansion (additional 2.54 acres of open space, Balanced Plan); Pursue all grant funding opportunities; Support the development of New Urban Green Spaces in National City such as Urban Mini-parks with community gardens; Support the creation of urban green spaces as proposed by the BLCPU; Support the proposal for urban greening along Cesar Chavez parkway between 25th St. and Cesar Chavez Park to encourage outdoor activity, walking, and increase pedestrian access to Cesar Chavez Park. (Harbor Drive Multimodal Corridor Study (HDMCS) project 67)</t>
  </si>
  <si>
    <t>Collaboration for urban greening</t>
  </si>
  <si>
    <t>Support community request for Caltrans to develop buffers (vegetative/walls) along I-5 where possible.</t>
  </si>
  <si>
    <t>Support new policies for requiring all new housing &amp; other sensitive receptors (like daycares, health &amp; medical facilities) install landscape buffers (refer to CARB’s Air Quality and Land Use Handbook &amp; indoor air filtration systems.</t>
  </si>
  <si>
    <t>Collaboration for vegetative barriers</t>
  </si>
  <si>
    <t>sensitive receptors</t>
  </si>
  <si>
    <t xml:space="preserve">Support community request for Caltrans to develop buffers (vegetative/walls) along I-5 where possible. Coordinate this action with the South Bay to Sorrento Corridor Plan and the Barrio Logan Community Plan Update; Pursue all grant funding opportunities; </t>
  </si>
  <si>
    <t>Urban greening</t>
  </si>
  <si>
    <t>caltrans</t>
  </si>
  <si>
    <t>vegetative barriers</t>
  </si>
  <si>
    <t>Beardsley St &amp; Harbor Dr: Modification of raised median to restrict EB and SB left turns.</t>
  </si>
  <si>
    <t>Beardsley St &amp; Harbor Dr: Modification of raised median to restrict EB and SB left turns. (project 9); Cesar Chavez Pkwy &amp; Logan Ave: Reconfiguration of intersection to improve operations and bike/ped access. (project 10); Schley St &amp; 26th St: Diverter island on 26th St to restrict NB traffic from Schley St. (project 4); Schley St &amp; Harbor Dr: Reconfiguration of intersection to improve operations and bike/ped access to shipyards. (project 16); Cesar Chavez Pkwy: Evaluate ingress/egress from driveways near Tenth Avenue Marine Terminal to improve safety and operations. (project 14); Harbor Drive 2.0: Construction of infrastructure and transportation engineering improvements, in conjunction with ITS technologies, between TAMT and NCMT to provide a more efficient movement of freight while maintaining the quality of life for neighborhood residents and improving public safety (project 64).</t>
  </si>
  <si>
    <t>Collaboration for Bike Paths and Pedestrian Access</t>
  </si>
  <si>
    <t>bike lanes</t>
  </si>
  <si>
    <t>Prioritize Blue line trolley separation at 28th &amp; 32nd St (SANDAG MMAS L-83); Traffic calming on Main St; Pursue corridor improvements (Sorrento Plan); Enhance intersections (Harbor Dr, 8th St); Bike lanes (8th St, 24th St); Pepper Park connections (HDMCS 19).</t>
  </si>
  <si>
    <t>Prioritize implementation of Blue line trolley grade separation at 28th St and 32nd St (SANDAG MMAS project L-83, &amp; HDMCS project 62 &amp; project 22); 2. SD/BL – Support adding traffic calming measures along Main Street between Cesar Chavez Parkway and 32nd St. to discourage truck use. (By subcommittee); 3. Work through the South Bay to Sorrento Corridor Plan and the BLCPU to pursue freeway ramp removal and relocation of I-5 Southbound onramp from Boston Ave. to 28th St. (HDMCS project 69); 4. Boston Ave: Traffic calming improvements including potential bike boulevard between 26th St and 28th St. (HDMCS project 48 – Coordinate w/above HDMCS project 69); 5. Boston Ave: Class I bikeway/multi-use path between 29th St and 32nd St. (HDMCS project 49 – Coordinate w/above HDMCS project 69); 6. 28th St &amp; National Ave: Reconfiguration of intersection to alleviate queueing issues for WB vehicles. (HDMCS project 26 – Coordinate w/above HDMCS project 69; 7. 28th St &amp; Harbor Dr: Enhanced pedestrian facilities to accommodate shipyard demand including widened crosswalks, curb extensions, curb ramps, curb ramps, and potential pedestrian scramble. (HDMCS project 38); 8. 28th St: Reconfiguration to increase capacity and improve access between Main St and National Ave. Initial study assumed 2 NB and 3 SB lanes with raised median. (HDMCS project 46); 9. 8th St &amp; Harbor Dr: Additional and/or extended left-turn pocket to improve access from WB Harbor Drive to Naval Base Gate 9 (8th St). (HCMCS project 31); 10. 8th St &amp; Harbor Dr: Reconfiguration of WB 8th St to allow 3 through lanes Naval Base Gate 9 (8th St). (HCMCS project 32); 11. Civic Center Dr &amp; Harbor Dr: Dual EB left turn lanes to increase capacity for traffic from nearby I-5 SB offramp. (HCMCS project 33); 12. 8th St: Class II bike lanes connecting Harbor Dr, 8th St Trolley/Bus Station and National City communities. Pedestrian upgrades including rail crossing gates and curb ramps. Wayfinding facilities. (HCMCS project 53); 13. 24th St/Bay Marina Dr: Class II bike lanes connecting NCMT, 24th St Transit Center and National City communities. Pedestrian upgrades including rail crossing gates and curb ramps. Wayfinding facilities. (HCMCS project 55); 14. Pepper Park: Bike/pedestrian connections to Pepper Park extension proposed in National City Marina District Balanced Land Use Study (2016). (HDMCS project 19)</t>
  </si>
  <si>
    <t>Develop and implement a Short-haul on-road electric truck pilot program to/from Port tidelands for one or more routes; Develop EV Truck charging needs assessment and strategy to support EV Truck expansion beyond above pilot.</t>
  </si>
  <si>
    <t>Develop and implement a Short-haul on-road electric truck pilot program to/from Port tidelands for one or more routes; Develop EV Truck charging needs assessment and strategy to support EV Truck expansion beyond above pilot. Install charging facilities to support deployment of on-road electric trucks (include DC Fast charging and wireless); Implement a Community (Off Port) Operators Mitigation Strategy to coordinate with other operators for their transition to ZEVs, infrastructure, truck routes and truck operations; Pursue all grant funding opportunities; Identify new sources of funding, including new fees, to promote zero and near-zero emission trucks and other emissions reduction opportunities at the Port of San Diego; As City of San Diego and National City acquire ZE Trucks, encourage the Cities to prioritize utilizing them in the Portside Community; As City of San Diego and National City acquire ZE light duty vehicles, encourage the Cities to prioritize utilizing them in the Portside Community.</t>
  </si>
  <si>
    <t>Funding for Electric Vehicle Replacment and Charging Infrastructure</t>
  </si>
  <si>
    <t>Collaboration and Funding for Electric Charging Infrastructure at the Port</t>
  </si>
  <si>
    <t>shft</t>
  </si>
  <si>
    <t>shft_2018_cerp</t>
  </si>
  <si>
    <t>Update enforcement strategies as appropriate.  The District committed to evaluating the results of ongoing compliance activities within the Shafter community and moving forward will work with the Community Steering Committee to update measures as appropriate.</t>
  </si>
  <si>
    <t xml:space="preserve">update </t>
  </si>
  <si>
    <t>Pilot training program for conducting self-inspections at gas stations.</t>
  </si>
  <si>
    <t>Pilot training program for conducting self-inspections at gas stations.  The District will develop a new pilot training program to instruct gas station operators in conducting thorough self-inspections of the vapor recovery systems to aid in the identification and timely repair of vapor recovery system defects. Once developed, the District will provide hands-on training to each of the 15 gas stations in the Shafter Community and 7-mile buffer zone.</t>
  </si>
  <si>
    <t>incentives; industrial facilities and stationary sources</t>
  </si>
  <si>
    <t>Training for Self-Inspections at Gas Stations</t>
  </si>
  <si>
    <t>stationary sources</t>
  </si>
  <si>
    <t>oil and gas</t>
  </si>
  <si>
    <t>Educate public about harmful impacts of residential wood burning.</t>
  </si>
  <si>
    <t>Educate public about harmful impacts of residential wood burning.  This strategy would create a series of 4 public workshops to educate Shafter residents about wood burning topics and to address questions and concerns interactively and accessibly within a forum setting.  Wood burning infographics and educational materials would also be circulated to at least 6 community spaces throughout Shafter and the surrounding community with the goal of continuing to spread awareness and increasing applications for incentive funds supporting the transition to natural gas and electric devices.</t>
  </si>
  <si>
    <t>incentives; burning</t>
  </si>
  <si>
    <t xml:space="preserve">Outreach for Wood and Illegal Burning Incentive Programs </t>
  </si>
  <si>
    <t>Outreach for Wood and Illegal Burning Incentive Programs</t>
  </si>
  <si>
    <t xml:space="preserve">education </t>
  </si>
  <si>
    <t>Automobile idle-reduction outreach to reduce the exposure of sensitive receptors to vehicle emissions.  This strategy would provide and distribute 10 sets of bilingual English and Spanish idle-reduction street signs to be installed in locations that commonly serve sensitive groups throughout the community boundary.  SJVAPCD representatives would also develop and deliver 4 presentations about the impacts of vehicle exhaust and related District resources such as incentive funding for cleaner vehicles and school programs that deliver free idle-reduction signs to schools throughout the Valley.</t>
  </si>
  <si>
    <t>Outreach to share clean air efforts and how communities can get involved.  This strategy would increase awareness of available programs by establishing a series of outreach events within Shafter.  This strategy would also create an annual youth symposium to educate and encourage high school students to share air quality information with their peers, helping to sustain community awareness through future generations.  The annual goals for this strategy are: (a) attend/host 4 community meetings to share information and; (b) complete 1 community-targeted social media campaign.</t>
  </si>
  <si>
    <t>Outreach to increase community awareness and knowledge of air quality.</t>
  </si>
  <si>
    <t>Outreach to increase community awareness and knowledge of air quality.  This strategy would increase community awareness of available tools to keep informed of real-time changes in air quality through social media campaigns and a series of partner workshops. Social media campaigns would be launched on three platforms. A partnership with local civic and community organizations would be established to host workshops at locations commonly available to the public such as libraries, schools, and community, health, or recreation centers.   The annual goals for this strategy are: (a) attend/host 4 community meetings to share information; (b) complete 1 community-targeted social media campaign; and (c) circulation of infographics to at least 3 community spaces.</t>
  </si>
  <si>
    <t>Incentive program for the replacement of residential lawn and garden equipment.  This strategy will provide Shafter residents with increased incentives for the replacement of residential lawn care equipment, with an increased incentive amount for residents within the community.  The goal is to replace 280 gas powered units at an expected cost of $100,000.</t>
  </si>
  <si>
    <t>Incentive program for the replacement of commercial lawn and garden equipment.  This strategy will provide commercial lawn care providers operating in Shafter with enhanced outreach and access to available incentives offered by the District.  The goal is to replace 30 pieces of commercial grade gas powered lawn and garden equipment at an expected cost of $40,000.</t>
  </si>
  <si>
    <t>Incentive program for the replacement of existing wood burning devices and pellet stoves with natural gas or electric technologies.  This strategy would provide enhanced financial incentives to replace existing wood burning devices and pellet stoves with natural gas or electric technologies. Incentives available to Shafter residents would include $3,000 for natural gas devices and $4,000 for an eligible electric heating device. The goal of this measure is to replace 200 wood burning devices in Shafter with natural gas or electric alternatives at an expected cost of $600,000.</t>
  </si>
  <si>
    <t xml:space="preserve">Incentives for Wood Burning Alternatives </t>
  </si>
  <si>
    <t>Incentive program for the installation of vegetative barriers around/near sources of concern.  The District will work closely with the community, city, California Department of Transportation, Natural Resource Conservation Service and others to investigate and identify areas suitable for installation of vegetative barriers. Type and location of projects will be developed with the input of Steering Committee, and funded as funding sources are identified.</t>
  </si>
  <si>
    <t>Incentive program for heavy duty truck replacement with zero and near zero emission technology. This strategy would provide enhanced outreach and access to incentive funding for zero and near-zero emissions clean truck technologies that operate within the community.  This measure would replace 40 older, heavy duty diesel trucks operating in Shafter with zero or near zero emission technology at an expected cost of $4,000,000.</t>
  </si>
  <si>
    <t>Incentives for Truck Replacement  (Heavy Duty Diesel Trucks)</t>
  </si>
  <si>
    <t>Incentive program for the deployment of clean yard trucks, transportation refrigeration units, and relative infrastructure.  This strategy would provide incentive funding for operators to replace their diesel powered yard trucks or transport refrigeration units with zero emission technology.  The goal is to deploy 10 new zero emission yard trucks or transportation refrigeration units along with the associated infrastructure at a cost of $1,500,000.</t>
  </si>
  <si>
    <t xml:space="preserve">Incentives for Truck Replacement (Clean Yard Truck, Refridgeration Units) </t>
  </si>
  <si>
    <t>Evaluate feasibility of funding further emissions reductions from oil and gas production operations.</t>
  </si>
  <si>
    <t>Evaluate feasibility of funding further emissions reductions from oil and gas production operations.  This strategy would evaluate the feasibility of creating an incentive program for oil and gas production operations to fund the installation of technologies that further reduce emissions. The District will work with oil and gas production operations in the Shafter area to identify potential emission reduction opportunities, such as electrifying pump jacks that are currently operating with internal combustion engines. The District will identify available grant funding to assist implementation.</t>
  </si>
  <si>
    <t>Incentives for Technology at Oil and Gas Production</t>
  </si>
  <si>
    <t>Incentive program for installing solar in the community.  The District will commit up to $1.5 million in District funding to incentivize the installation of residential solar and zero and near-zero emission appliances, in the City of Shafter, by committing a 10% match to state funding for residential solar and zero and near-zero emission appliances in the Community. The total state and District funding under this proposal would total $15 million for residential solar and zero and near-zero emission appliances in Shafter, with District funding leveraging new PUC/CARB funding programs for solar and zero and near-zero emission appliance installations. The District will help to coordinate meetings with, and actively advocate for funding from, entities that offer incentives for solar photovoltaic (PV) installation and other green energy programs that have the potential to reduce utility rates in the community.</t>
  </si>
  <si>
    <t xml:space="preserve">Incentives for Solar Installation </t>
  </si>
  <si>
    <t>Incentive program for replacing older diesel school buses with zero or near-zero emission school buses.</t>
  </si>
  <si>
    <t>Incentive program for replacing older diesel school buses with zero or near-zero emission school buses.  The goal is to replace up to 10 school buses, operated by Richland School District and/or Kern High School District with zero-emission battery-electric school buses.  The proposed funding amount of $4,000,000 would cover up to 100% of the cost of replacing up to 10 diesel school buses with electric buses at $400,000 each.</t>
  </si>
  <si>
    <t xml:space="preserve">Incentives for School Buses </t>
  </si>
  <si>
    <t>Incentive program for replacing older public fleet vehicles with new, clean-vehicle technology.  The goal is to work closely with public agencies, including City of Shafter and Kern County, to replace vehicles through the District’s Public Benefit Grants Program. This includes increased outreach to public agencies operating vehicles within the community as well as prioritized funding for projects in the community.  The proposed funding amount of $100,000 would cover the replacement of up to 5 vehicles at an incentive of $20,000 each.</t>
  </si>
  <si>
    <t>incentives; transportation and mobile sources</t>
  </si>
  <si>
    <t xml:space="preserve">Incentives and Outreach for Public Vehicle Replacement </t>
  </si>
  <si>
    <t>Incentive program for the replacement of passenger vehicles with battery electric or plug-in hybrid vehicles.  This strategy would provide increased levels of incentive funding to Shafter residents to replace their older vehicles with battery electric or plug in hybrid vehicles.  This measure would provide $6,000,000 for the replacement of up to 300 vehicles.  In addition, the District would work with a local partner to deploy 20 battery electric vehicles with a range of at least 150 miles and associated charging infrastructure for residents who would like to ‘check out’ battery electric vehicles to ensure that a battery electric vehicle would meet their needs.</t>
  </si>
  <si>
    <t>Incentive program to host a local Tune In Tune Up event to reduce emissions from older, high polluting cars.  This strategy would provide funding for a "Tune In Tune Up" event in the community of Shafter and funding for vehicle repairs (up to $850 in vehicle emissions related repairs). The overall cost of this measure is $400,000 which would provide funding for the event related expenses as well as 500 vehicle repairs.</t>
  </si>
  <si>
    <t xml:space="preserve">Incentives for Passenger Vehicle Repair </t>
  </si>
  <si>
    <t>Incentive program for deploying on-field alternatives to the open burning of agricultural materials.  This strategy would provide enhanced access to District’s Alternative to Agricultural Open Burning Incentive Program for growers within Shafter and the surrounding area by providing access to $1,000,000 in dedicated funding. This strategy would fund up to 2000 acres of alternative practices.</t>
  </si>
  <si>
    <t>agriculture; dust</t>
  </si>
  <si>
    <t xml:space="preserve">Incentives for Open Burning Agriuculture Alernatives </t>
  </si>
  <si>
    <t>Incentive program for replacing conventional nut harvesting equipment with low-dust harvesting equipment.</t>
  </si>
  <si>
    <t>Incentive program for replacing conventional nut harvesting equipment with low-dust harvesting equipment. The goal of this action is to replace up to 25 pieces of conventional nut harvesting equipment operating in and around the community with new, low-dust harvesting equipment.  The
proposed funding amount of $2,500,000 would cover up to 75% of the cost of replacing up to 25 pieces of agricultural equipment at an average incentive of $100,000 each.</t>
  </si>
  <si>
    <t xml:space="preserve">Incentives for Nut  Harvesting Equipment </t>
  </si>
  <si>
    <t>Incentives for Nut Harvesting Equipment</t>
  </si>
  <si>
    <t xml:space="preserve">nut harvesting </t>
  </si>
  <si>
    <t>Incentive program for installation of electric vehicle charging infrastructure.</t>
  </si>
  <si>
    <t>Incentive program for installation of electric vehicle charging infrastructure.  This strategy would provide incentive funding to private and public entities to provide publicly accessible charging infrastructure in the Shafter community. This strategy would utilize the existing Charge Up program guidelines and funding amounts. This goal of this measure is to install up to 78 electric vehicle chargers, including Level 2 and Level 3 chargers, in Shafter at an expected cost of up to $850,000.</t>
  </si>
  <si>
    <t>Incentive program for educational training for electric vehicle mechanics.  This strategy would provide up to $30,000 for 2 alternative fuel mechanic training courses provided by an appropriate entity. Additional outreach will be conducted to identify projects that would provide a benefit to the Shafter community.</t>
  </si>
  <si>
    <t>Incentives for Diesel Railcar Movers and Switcher Locomotive Replacement</t>
  </si>
  <si>
    <t>Incentive program for installing advanced emissions control equipment on underfired charbroilers.</t>
  </si>
  <si>
    <t>Incentive program for installing advanced emissions control equipment on underfired charbroilers.  This strategy would provide funding for the installation of control equipment at one Shafter restaurant to reduce particulate emission from underfired charbroilers, and to provide enhanced outreach and education to local restaurants regarding health impacts and availability of funding for installation of controls.  Proposed funding amounts of $150,000 would cover up to 100% of the cost of installing emissions control equipment.</t>
  </si>
  <si>
    <t>Incentives for Charbroilers</t>
  </si>
  <si>
    <t xml:space="preserve">Charbroilers </t>
  </si>
  <si>
    <t>Incentive program for the launch of a car sharing program in the Shafter community.</t>
  </si>
  <si>
    <t>Incentive program for the launch of a car sharing program in the Shafter community.  This strategy would provide funding for a partnering car share provider to launch a program in the Shafter community. The District would leverage experience with existing ride share programs operating in the Valley in order to expand to the Shafter area.  This measure would provide $500,000 in funding for the electric vehicles, related infrastructure and subsidies to help minimize the initial cost to the end user.</t>
  </si>
  <si>
    <t xml:space="preserve">Incentives for Car Sharing Program </t>
  </si>
  <si>
    <t>Incentives for Car Sharing Program</t>
  </si>
  <si>
    <t>car sharing</t>
  </si>
  <si>
    <t xml:space="preserve">Incentive program to install advanced air filtration systems in community schools.  This strategy would provide up to $250,000 in incentive funding for schools and daycares in Shafter to install advanced air filtration systems. Proposed funding amounts would provide 10 schools with funding to retrofit schools with advanced HVAC filtration systems. </t>
  </si>
  <si>
    <t>Incentive program for replacing older diesel agricultural equipment with cleanest available equipment.</t>
  </si>
  <si>
    <t>Incentive program for replacing older diesel agricultural equipment with cleanest available equipment.  The goal of this action is to replace up to 100 pieces of agricultural equipment operating in and around the community with new, cleanest available technology.  The proposed funding amount of $5,000,000 would cover up to 60% of the cost of replacing up to 100 pieces of agricultural equipment at an average incentive of $50,000 each.</t>
  </si>
  <si>
    <t>Incentive program for replacing older diesel or natural gas-fired agricultural irrigation pump engines with electric motors.</t>
  </si>
  <si>
    <t>Incentive program for replacing older diesel or natural gas-fired agricultural irrigation pump engines with electric motors.  The goal of this action is to replace up to 10 diesel or natural gas-fired agricultural irrigation pump engines operating in and around the community with new electric motors, including capital funding for equipment and line extension.  The proposed funding amount of $230,000 would cover up to approximately 60% of the cost of replacing up to 10 existing irrigation pump engines at an average incentive of $23,000 each.</t>
  </si>
  <si>
    <t>Incentives for Agriculture Equipment</t>
  </si>
  <si>
    <t>Irrigation Pump</t>
  </si>
  <si>
    <t>Enhanced enforcement of wood-burning curtailments under District Rule 4901.  District staff will allocate additional resources toward the enforcement of District Rule 4901 episodic curtailment requirements in the Shafter community. District staff will conduct at least 4 hours of surveillance within the Shafter community on each declared curtailment day for the next 5 winter seasons to enhance the enforcement of District Rule 4901. The District will work with the Community Steering Committee to focus surveillance efforts in areas where wood burning is more prevalent.</t>
  </si>
  <si>
    <t>Rule 4901</t>
  </si>
  <si>
    <t>Enhanced stationary source inspection frequency.</t>
  </si>
  <si>
    <t>Enhanced stationary source inspection frequency.  The District will increase the frequency of inspection at each facility within the Shafter community or 7-mile buffer area that has had an emission violation over the past 3 years. These facilities will be inspected at least twice per calendar year for the next 5 years or until the facility has 4 consecutive inspections without an emission violation, whichever occurs first.</t>
  </si>
  <si>
    <t>Enforcement for Stationary Source Inspection</t>
  </si>
  <si>
    <t>Enhanced enforcement to reduce illegal burning of residential waste.  The District will conduct additional targeted surveillance efforts in the Shafter community and 7-mile buffer zone at least once per quarter for the next 5 years. The District will work with the Community Steering Committee to focus surveillance efforts in areas where illegal residential open burning has historically occurred.</t>
  </si>
  <si>
    <t>Enhanced enforcement of the statewide anti-idling regulation.  The District will partner with CARB to conduct additional targeted anti-idling enforcement efforts in the Shafter community and 7-mile buffer area at least once per quarter for the next 5 years. The District and CARB will work with the Community Steering Committee to identify heavy-duty vehicle idling “hot spots,” especially those near schools, to aid in focusing the enforcement efforts.</t>
  </si>
  <si>
    <t xml:space="preserve">Enforcement for Idling </t>
  </si>
  <si>
    <t>Heavy duty truck rerouting.  The District will work with the City, County, Caltrans, and all other appropriate land-use and transportation agencies to communicate this Steering Committee suggestion. The City of Shafter will review truck travel patterns within the Shafter area and work toward a system of truck routes that facilitates efficient goods movement while minimizing proximity of truck travel to sensitive receptors, as part of its Environmental Justice General Plan Element.</t>
  </si>
  <si>
    <t>Road and sidewalk improvements.</t>
  </si>
  <si>
    <t>Road and sidewalk improvements.  The District will work with city and county partners to provide up to $2.775 million in match funding to leverage available local, state, and federal funding sources for road and sidewalk improvement projects in the community.  The District will partner with the City of Shafter and Kern County to notify them as other grant funding opportunities for road paving, road resurfacing, and sidewalk improvements become available. The District will provide support to the City and County in paving grant applications through letters of support and technical support, as requested.</t>
  </si>
  <si>
    <t>land use; dust</t>
  </si>
  <si>
    <t>Increased urban greening and forestry to improve air quality.  The goal is to identify and support efforts to increase urban greening and forestry to improve air quality and overall quality of life for residents in the community of Shafter.  The District is committing up to $50,000 in 20% match funding towards a total of up to $250,000 in funding from other agencies and tree planting advocates. In addition, the District is committing $5000 to a study by San Joaquin Green (formerly Tree Fresno) and Tree Foundation of Kern to identify planting locations, maintenance needs, and irrigation plans.</t>
  </si>
  <si>
    <t xml:space="preserve">Funding for Urban Greening </t>
  </si>
  <si>
    <t>stck</t>
  </si>
  <si>
    <t>stck_2019_cerp</t>
  </si>
  <si>
    <t>Support projects that reduce vehicle miles traveled</t>
  </si>
  <si>
    <t>land use; transportation and mobile sources</t>
  </si>
  <si>
    <t>Understanding and mitigating the impact of algal blooms on air quality</t>
  </si>
  <si>
    <t>ports; transportation and mobile sources</t>
  </si>
  <si>
    <t>Study Harmful Algal Blooms</t>
  </si>
  <si>
    <t>Harmful Algal Blooms</t>
  </si>
  <si>
    <t>Incentive program for the deployment of clean heavy-duty mobile equipment operating at ports, intermodal railyards and distribution centers</t>
  </si>
  <si>
    <t>Technology Upgrades on Land</t>
  </si>
  <si>
    <t>Marine exhaust intake bonnet emissions control</t>
  </si>
  <si>
    <t>Technology Upgrades for Ships</t>
  </si>
  <si>
    <t>Tug boat replacement/repower</t>
  </si>
  <si>
    <t>Reduce children’s exposure through increased enrollment in the healthy air living schools program and the establishment of emission free zones</t>
  </si>
  <si>
    <t>Multilingual outreach to increase community awareness and knowledge of air quality</t>
  </si>
  <si>
    <t>multilingual</t>
  </si>
  <si>
    <t>Incentive program for the replacement of residential lawn and garden equipment</t>
  </si>
  <si>
    <t>outreach and community engagement; incentives</t>
  </si>
  <si>
    <t>Lawn and garden</t>
  </si>
  <si>
    <t>residential</t>
  </si>
  <si>
    <t>Incentive program for the replacement of commercial lawn and garden equipment</t>
  </si>
  <si>
    <t xml:space="preserve">commercial </t>
  </si>
  <si>
    <t>Educate public regarding harmful effects of residential wood burning fireplace and wood burning heater smoke</t>
  </si>
  <si>
    <t>burning; incentives</t>
  </si>
  <si>
    <t>wood burning fireplaces and heater smoke</t>
  </si>
  <si>
    <t>Incentive program for the replacement of existing wood burning devices and pellet stoves with natural gas or electric technologies</t>
  </si>
  <si>
    <t>Incentive program for the installation of vegetative barriers around/near sources of concern</t>
  </si>
  <si>
    <t>Incentive program for heavy duty trucks replacement with zero and near zero emission technology</t>
  </si>
  <si>
    <t>transportation and mobile sources; incentives</t>
  </si>
  <si>
    <t>Incentive program for replacing older diesel school buses with zero emission school buses</t>
  </si>
  <si>
    <t>Incentive program for the replacement of passenger vehicles with battery electric or plug in hybrid vehicles</t>
  </si>
  <si>
    <t>Incentive program to host a local tune in tune up events to reduce emissions from older, high polluting cars</t>
  </si>
  <si>
    <t>Incentive program for installation of electric vehicle charging infrastructure</t>
  </si>
  <si>
    <t>Incentive program for educational training for electric vehicle mechanics</t>
  </si>
  <si>
    <t>Incentive program for replacing older diesel switcher locomotives with new clean-engine technology</t>
  </si>
  <si>
    <t>Incentive program for the launch of a car sharing program in the stockton community</t>
  </si>
  <si>
    <t>Incentive program for the launch of a car sharing program in the Stockton community</t>
  </si>
  <si>
    <t>Incentive program to install advanced air filtration systems in community schools</t>
  </si>
  <si>
    <t>Incentive program for residential air filtration and weatherization</t>
  </si>
  <si>
    <t>Bike path infrastructure funding</t>
  </si>
  <si>
    <t>Funding for Bike Paths</t>
  </si>
  <si>
    <t xml:space="preserve">Bike path </t>
  </si>
  <si>
    <t>Truck idling plug-ins</t>
  </si>
  <si>
    <t>Funding for Truck Idling Plug Ins</t>
  </si>
  <si>
    <t>Enhanced enforcement of district regulation viii fugitive dust requirements</t>
  </si>
  <si>
    <t>dust</t>
  </si>
  <si>
    <t xml:space="preserve">Enforcement of Fugitive Dust Requirement </t>
  </si>
  <si>
    <t>Enhanced stationary source inspection frequency</t>
  </si>
  <si>
    <t>burning; industrial facilities and stationary sources</t>
  </si>
  <si>
    <t>stationary sourcem</t>
  </si>
  <si>
    <t>Reduce illegal burning through residential open burning education</t>
  </si>
  <si>
    <t>Heavy duty truck rerouting</t>
  </si>
  <si>
    <t>Urban greening and forestry</t>
  </si>
  <si>
    <t>Collaboration for Urban Greening</t>
  </si>
  <si>
    <t>Support planning and development of heavy-duty electric vehicle charging infrastructure</t>
  </si>
  <si>
    <t xml:space="preserve">Goal towards Electric Charging Infrastructure
</t>
  </si>
  <si>
    <t>Collaboration for Electric Charging Infrastructure</t>
  </si>
  <si>
    <t>woak</t>
  </si>
  <si>
    <t>woak_2018_cerp</t>
  </si>
  <si>
    <t>The Port of Oakland studies the effects on truck flow and congestion due to increasing visits from larger container ships, the feasibility of an off-terminal container yard that utilizes zero-emission trucks to move containers to and from the marine terminals, and the potential efficiency gains from increasing the number of trucks hauling loaded containers on each leg of a roundtrip to the Port.</t>
  </si>
  <si>
    <t>Study Truck Flow</t>
  </si>
  <si>
    <t>air monitoring</t>
  </si>
  <si>
    <t>The City of Oakland requires industrial and warehouse facilities to provide electrical connections for electric trucks and transport refrigeration units in support of CARB regulations.</t>
  </si>
  <si>
    <t>Regulation on Electrical Infrastructure for Warehouses</t>
  </si>
  <si>
    <t>Regulation</t>
  </si>
  <si>
    <t>warehouses</t>
  </si>
  <si>
    <t>The City of Oakland, consistent with the West Oakland Truck Management Plan: 1) improves training for police officers, community resource officers, and parking control technicians who issue truck and trailer parking tickets; 2) changes the parking regulations so they are easier to enforce; 3) increases truck parking fines; 4) targets enforcement at specific times and locations; and 5) improves signage directing drivers to available truck parking.</t>
  </si>
  <si>
    <t xml:space="preserve">enforcement </t>
  </si>
  <si>
    <t>The Air District plans to offer financial incentives to upgrade tugs and barges operating at the Port of Oakland with cleaner engines every year.</t>
  </si>
  <si>
    <t>Incentives for Tug Boat Replacement</t>
  </si>
  <si>
    <t>tug boats</t>
  </si>
  <si>
    <t>The Air District offers financial incentives to replace box and yard diesel trucks with zero emission trucks owned by West Oakland businesses every year.</t>
  </si>
  <si>
    <t>Incentives for Truck Replacement (Box and Yard Diesel Trucks)</t>
  </si>
  <si>
    <t>The Air District offers financial incentives to replace long-haul diesel trucks with zero-emission trucks owned by West Oakland businesses every year.</t>
  </si>
  <si>
    <t>The Air District plans to offer up to $7 million per year to replace older autos through the Vehicle Buy Back program, and up to $4 million per year through the Clean Cars for All program to replace older autos and provide an incentive for a hybrid electric, plug-in hybrid electric, battery electric vehicle, or Clipper Card for public transit.</t>
  </si>
  <si>
    <t>The Air District plans to offer financial incentives to support the development of a hydrogen refueling station and the purchase of trucks and off-road equipment powered by fuel cells every year.</t>
  </si>
  <si>
    <t>Incentives for Hydrogen Fueling Infrastructure</t>
  </si>
  <si>
    <t>hydrogen</t>
  </si>
  <si>
    <t>The Air District works with CARB to streamline the process for providing financial incentives for fueling infrastructure, and for low and zero-emission equipment.</t>
  </si>
  <si>
    <t>The Air District works with CARB to streamline the process for providing financial incentives for fueling infrastructure, and for low and zero-emission equipment. The Air District increases outreach and assistance to individual owner-operators and small companies by providing two workshops and enhanced outreach in West Oakland by 2022.</t>
  </si>
  <si>
    <t>Incentives for Electric Vehicle Replacement and Charging Infrastructure</t>
  </si>
  <si>
    <t>The Port of Oakland studies the feasibility of using electric switcher locomotives at the two Port railyards.</t>
  </si>
  <si>
    <t>Goal for Electric Switcher Locomotives</t>
  </si>
  <si>
    <t>The Air District plans to offer financial incentives to upgrade line-haul, passenger, and switcher(yard) locomotives with cleaner engines every year.</t>
  </si>
  <si>
    <t>Incentives for Diesel Locomotive Engine Replacement</t>
  </si>
  <si>
    <t>The Air District will award up to $1 million in funding incentives to pay for the cost of purchasing cleaner equipment in West Oakland, potentially including: electric lawn and garden equipment, battery electric Transport Refrigeration Units, and cargo-handling equipment, by 2021.</t>
  </si>
  <si>
    <t>Incentives for Lawn and Garden Equipment</t>
  </si>
  <si>
    <t>electrifcation</t>
  </si>
  <si>
    <t>carb</t>
  </si>
  <si>
    <t>Reduce truck idling</t>
  </si>
  <si>
    <t>Reduce truck idling through air measurements near warehouses and SR locations; focused enforcement; collaboration with CSC to inform community on idling reporting; engagement through outreach on existing idling complaint systems; assessment of complaints system; and work with CARB and local agencies to put up no idling signs.</t>
  </si>
  <si>
    <t>0 - Air monitoring</t>
  </si>
  <si>
    <t>sla</t>
  </si>
  <si>
    <t>sla_2021_cerp</t>
  </si>
  <si>
    <t>Support Community Scientists</t>
  </si>
  <si>
    <t>Identify opportunities to support community scientists to conduct community air monitoring</t>
  </si>
  <si>
    <t>industrial facilities and stationary sources; enforcement</t>
  </si>
  <si>
    <t xml:space="preserve"> community scientists</t>
  </si>
  <si>
    <t>ibc</t>
  </si>
  <si>
    <t>ibc_2024_cerp</t>
  </si>
  <si>
    <t>Partner with CARB, Caltrans, and CHP to install stationary remote sensing emission and license plate reading technologies that will measure emissions of mobile heavy-duty vehicles. Vehicles identified as high emitters will receive a notice to correct which requires truck owners to provide CARB evidence of compliance. Failure to respond or demonstrate compliance can lead to registration holds.</t>
  </si>
  <si>
    <t>transportation and mobile sources; enforcement</t>
  </si>
  <si>
    <t>Monitoring</t>
  </si>
  <si>
    <t>Collaborate with appropriate agencies and the CSC to determine if additional air monitoring is needed during specific well activities or under certain conditions</t>
  </si>
  <si>
    <t>Incentives for Cargo Handling Equipment and Refrigeration Units at the Port</t>
  </si>
  <si>
    <t>on land</t>
  </si>
  <si>
    <t>Dry Cleaners</t>
  </si>
  <si>
    <t>Community outreach to owners or operators regarding alternatives, incentive opportunities, and seeking feedback from owners or operators regarding their willingness to transition to and/or need of support to transition to community-identified alternatives</t>
  </si>
  <si>
    <t xml:space="preserve">Outreach </t>
  </si>
  <si>
    <t>alternatives to dry cleaners</t>
  </si>
  <si>
    <t>CARB will develop and implement a new program that will be offered to the Shafter community.</t>
  </si>
  <si>
    <t>CARB will develop and implement a new program that will be offered to the Shafter community. Information will cover topics like the fundamentals of enforcement, how the enforcement process works, instructions on filing a thorough complaint, and what to expect from the enforcement process after filing a complaint. Through this program, community members will be able to better support CARB or air district enforcement processes. CARB may also develop online trainings in the future.</t>
  </si>
  <si>
    <t>CARB will develop and implement a new program that will be offered to the South Central Fresno community.</t>
  </si>
  <si>
    <t>CARB will develop and implement a new program that will be offered to the South Central Fresno community. Information will cover topics like the fundamentals of enforcement, how the enforcement process works, instructions on filing a thorough complaint, and what to expect from the enforcement process after filing a complaint. Through this program, community members will be able to better support CARB or air district enforcement processes. CARB may also develop online trainings in the future.</t>
  </si>
  <si>
    <t>CARB Regulations</t>
  </si>
  <si>
    <t>Conduct a community workshop on the CTR process and share the data that has been collected from facilities in the community; CARB to provide information regarding CARB Chrome Plating ATCM amendments; South Coast AQMD to enforce CARB Chrome Plating ATCM through South Coast AQMD Rule 1469</t>
  </si>
  <si>
    <t>Chrome Plating ATCM amendment</t>
  </si>
  <si>
    <t>ecv</t>
  </si>
  <si>
    <t>ecv_2019_cerp</t>
  </si>
  <si>
    <t>Pursue a collaborative partnership with community organizations to conduct outreach in the community</t>
  </si>
  <si>
    <t>The Air District intends to develop and fund a program to reduce exposure to air pollution at schools, day care facilities, senior centers, health facilities, public facilities, apartments and homes in West Oakland by 2021.</t>
  </si>
  <si>
    <t>The Air District intends to develop and fund a program to reduce exposure to air pollution at schools, day care facilities, senior centers, health facilities, public facilities, apartments and homes in West Oakland by 2021. This Strategy includes policies or grants for building energy efficiency upgrades to reduce infiltration of pollutants and the installation of high-efficiency air filtration systems (rated MERV 14 or higher).</t>
  </si>
  <si>
    <t>sbm</t>
  </si>
  <si>
    <t>sbm_2018_cerp</t>
  </si>
  <si>
    <t>Participate in six public outreach events (e.g., health fairs, community events) during the implementation period of this CERP and provide air quality related information to reduce exposure. Provide information relating to air quality effects on young children and reducing exposure to facilities where children are located (e.g. preschools, childcare centers, charter schools, etc.). Outreach will be prioritized based on CSC input during the implementation of the CERP. Present CARE and WHAM programs in at least two schools during the implementation period of this CERP, with the possibility of continuing for up to three years. Collaborate with community-based organizations (e.g., ChICCCAA, CCAEJ) and co-engage in outreach meetings. Conduct school-based air monitoring.</t>
  </si>
  <si>
    <t>Communtiy Protection</t>
  </si>
  <si>
    <t>Pursue a collaborative partnership and support IID, the Salton Sea Authority, Riverside County, Torres Martinez Desert Cahuilla Indians and the State of California with implementing dust suppression projects</t>
  </si>
  <si>
    <t xml:space="preserve">dust suppression </t>
  </si>
  <si>
    <t>sela</t>
  </si>
  <si>
    <t>sela_2019_cerp</t>
  </si>
  <si>
    <t>Conduct outreach to the SELA community to provide information to the community about battery electric, fuel cell, and hybrid options</t>
  </si>
  <si>
    <t xml:space="preserve">electrification </t>
  </si>
  <si>
    <t>District is proposing to work in conjunction with CARB to identify enforcement strategies within CARB's current regulatory programs that could benefit the Corridor.</t>
  </si>
  <si>
    <t>The Community Outreach and Enforcement Section of CARB’s Enforcement Division will provide an annual report to the Steering Committee.</t>
  </si>
  <si>
    <t>Provide Annual Report of Enforcement Activities:  The Community Outreach and Enforcement Section of CARB’s Enforcement Division will provide an annual report to the Steering Committee to update and summarize CARB’s enforcement activities within the community. Reporting enforcement activities results is expected to help create an enforcement presence and incentive compliance.</t>
  </si>
  <si>
    <t>CARB Efforts</t>
  </si>
  <si>
    <t>Conduct outreach to the community and businesses and industries in SLA by distributing materials related to CARB’s mobile source regulations, best management practices, how to file a complaint, and incentive programs (e.g., provide materials to independent owners or operators and students to share with families, truck unions); Conduct an activity or solicit input through the CSC’s contacts in the community to collect feedback on CARB’s complaint filing system; Conduct compliance inspections of trucks and buses including Truck and Bus, TRU and Idling regulations with input from the CSC on locations of concern; CARB will adjust enforcement in the community to address the identified concerns and report back to the CSC annually for future adjustments; Install “No Idling” signs in CSC identified idling locations</t>
  </si>
  <si>
    <t>transportation and mobile sources; outreach and community engagement</t>
  </si>
  <si>
    <t xml:space="preserve"> trucks</t>
  </si>
  <si>
    <t>Agency Collaboration and Referrals</t>
  </si>
  <si>
    <t>Collaborate with appropriate agencies by reporting issues that fall outside of South Coast AQMD’s authority during inspection sweeps at general industrial facilities (e.g., Local land-use agencies, California Division of Occupational Safety and Health (Cal/OSHA), Certified Unified Program Agencies (CUPA), public health departments)</t>
  </si>
  <si>
    <t xml:space="preserve">general industrial facility inspection </t>
  </si>
  <si>
    <t>Work with the CSC to apply for available funding opportunities from the Unincorporated Communities Initiative and American Rescue for CERP actions</t>
  </si>
  <si>
    <t>Outreach to Owners or Operators</t>
  </si>
  <si>
    <t>Conduct targeted outreach to owners or operators in the SLA community, including providing information on  best management practices, South Coast AQMD’s Small Business Assistance Program, permitting process, and applicable rules and regulations; Conduct outreach to CSC-identified locations to encourage incorporation of best management practices (e.g., United States Environmental Protection Agency (U.S. EPA) Collision Repair Campaign, U.S. EPA Best Workplace Practices) and “Good Neighbor” practices, including seeking feedback from owners or operators regarding their understanding of applicable requirements and/or their willingness to incorporate best management or "Good Neighbor” practices</t>
  </si>
  <si>
    <t>good neighbor</t>
  </si>
  <si>
    <t>Determine, in consultation with the Community Steering Committee and CARB, how the health risk analysis can be conducted and applied.</t>
  </si>
  <si>
    <t xml:space="preserve">health risks </t>
  </si>
  <si>
    <t>In consultation with the Community Steering Committee, develop goals and objectives on how to utilize the health risk analysis.</t>
  </si>
  <si>
    <t>The City of Oakland collaborates with MTC and ACTC to consider a program for extending car sharing to low-income individuals and groups.</t>
  </si>
  <si>
    <t>Funding for Car Sharing</t>
  </si>
  <si>
    <t>The City of Oakland, consistent with the West Oakland Truck Management Plan: 1) improves signage regarding existing truck routes; 2) works with businesses on preferred routes to use when destinations are not located on truck routes; and 3) adds to, or changes, truck routes and prohibited streets.</t>
  </si>
  <si>
    <t>signage</t>
  </si>
  <si>
    <t>Outreach to small businesses and local fleets for incentive funds, prioritizing zero emission trucks where commercially available</t>
  </si>
  <si>
    <t>Organize one incentive outreach event (e.g., incentive fair, workshop) per year during the implementation period of this CERP, to be evaluated thereafter with community input.</t>
  </si>
  <si>
    <t>Organize one incentive outreach event (e.g., incentive fair, workshop) per year during the implementation period of this CERP, to be evaluated thereafter with community input. Provide semiannual updates on incentive outreach events and CARB’s and South Coast AQMD’s rule development for truck regulations, and seek community input on progress. Achieve emission reductions through mobile source incentives and statewide mobile source regulation measures as specified in Chapter 5a.</t>
  </si>
  <si>
    <t xml:space="preserve">truck regulation </t>
  </si>
  <si>
    <t>Work with the CSC and local agencies to identify industrial facilities of concern within the SELA emissions study area, provide a list of South Coast AQMD rules applicable to the industrial facilities identified</t>
  </si>
  <si>
    <t xml:space="preserve">industrical facilities </t>
  </si>
  <si>
    <t>Develop an informational handout that describes the types of general industrial facilities within the emissions study area, sources of emissions at the facilities, and existing air monitoring efforts.</t>
  </si>
  <si>
    <t>Pursue collaborations with local land-use agencies to provide outreach information to metal processing facilities on required South Coast AQMD permits.</t>
  </si>
  <si>
    <t>industrial facilities and stationary sources; dust</t>
  </si>
  <si>
    <t xml:space="preserve">land use </t>
  </si>
  <si>
    <t>metal processing</t>
  </si>
  <si>
    <t>Conduct targeted outreach to metals facility owners or operators in the community, including providing information on best management practices, South Coast AQMD’s Small Business Assistance Program, permitting process, and applicable rules and regulations – with a focus on new rule requirements from CARB and South Coast AQMD; Collaborate with communities and businesses to encourage incorporation of best management and “Good Neighbor” practices</t>
  </si>
  <si>
    <t>Outreach</t>
  </si>
  <si>
    <t xml:space="preserve">metal facilities </t>
  </si>
  <si>
    <t>Work with the CSC and local land use agencies to identify all metal processing facilities within the SELA emissions study area and provide a list of South Coast AQMD rules applicable to the metal processing facilities identified</t>
  </si>
  <si>
    <t>Work with the CSC to identify air quality issues related to metal processing facilities and work to prioritize them</t>
  </si>
  <si>
    <t>Conduct public outreach using plain language materials explaining various types of metal processing operations and rules</t>
  </si>
  <si>
    <t>Rule Amendment Feasibility</t>
  </si>
  <si>
    <t xml:space="preserve">Notification of modifications to any previously noticed work; </t>
  </si>
  <si>
    <t xml:space="preserve">notification system </t>
  </si>
  <si>
    <t>The City of Oakland works with Alameda County Public Health Department to improve access to medical services within West Oakland.</t>
  </si>
  <si>
    <t>The City of Oakland works with Alameda County Public Health Department to improve access to medical services within West Oakland. This work expands existing programs such as: (1) Child Health and Disability Prevention Program free health check-ups for infants through teens; (2) Asthma Management at schools; (3) Building Blocks for Health Equity which works to correct inequity in health outcomes for children; (4) Urban Male Health Initiative which is charged with reducing the premature mortality of men and boys in Alameda County; and (5) Alameda County Health Improvement Plan to develop and implement a five-year county plan to improve health and achieve health equity.</t>
  </si>
  <si>
    <t>health</t>
  </si>
  <si>
    <t>Oil and Gas Industry Incentives</t>
  </si>
  <si>
    <t>Conduct outreach to the CSC when new funding opportunities are available to incentivize best management practices and/or install emission reduction technologies (e.g., electrification of operations)</t>
  </si>
  <si>
    <t xml:space="preserve">oil and gas facilities </t>
  </si>
  <si>
    <t>Agency Collaborations and Referrals</t>
  </si>
  <si>
    <t>Collaborate with appropriate agencies by reporting issues that fall outside of South Coast AQMD’s jurisdiction during inspection sweeps at oil and gas facilities (e.g., local land-use agencies, CalGEM, and public health departments)</t>
  </si>
  <si>
    <t>oil and gas facility inspection</t>
  </si>
  <si>
    <t>Other Governmental Agency Projects</t>
  </si>
  <si>
    <t>Identify opportunities for other agencies to provide information on their respective oil and gas related authority (e.g., oil well status), existing and proposed rules and regulations (e.g., prohibition of new oil wells), and/or projects and programs (e.g., CalGEM drone surveillance, health impact studies)</t>
  </si>
  <si>
    <t xml:space="preserve">oil and gas regulation </t>
  </si>
  <si>
    <t>The City of Oakland, in partnership with the Steering Committee, CARB and the Air District, studies the exposure reduction benefit of requiring solid or vegetative barriers to be incorporated into site design between buildings and sources of air pollution (for example, a freeway).</t>
  </si>
  <si>
    <t>Land Use; Industrial Facilities and Stationary Sources</t>
  </si>
  <si>
    <t>Identify Strategies</t>
  </si>
  <si>
    <t>During permit application process, provide education information to the permit applicants of cleaner alternative technologies (e.g., commercially available zero emissions technology, non-toxic alternatives)</t>
  </si>
  <si>
    <t>permits for clean alternatives</t>
  </si>
  <si>
    <t>Make referrals to the appropriate agencies when issues are found during inspections that fall outside of South Coast AQMD’s jurisdiction</t>
  </si>
  <si>
    <t>referrals</t>
  </si>
  <si>
    <t>IBCSC to pursue a collaborative partnership with a university and/or research institutions and consult the California Air Resources Board to research heavy-duty trucks crossing the border each day to help inform the implementation and better understand the health and air quality impacts of the Advanced Clean Fleets Rule.</t>
  </si>
  <si>
    <t>research</t>
  </si>
  <si>
    <t xml:space="preserve">university </t>
  </si>
  <si>
    <t>IBCSC to pursue collaborative partnerships with a university and/or research institutions, and local utilities, in consultation with the California Air Resources Board to develop an Electric Vehicle (EV) Truck charging needs assessment and strategy for Otay Mesa and San Ysidro,</t>
  </si>
  <si>
    <t>Work with Mexican authorities to develop an incentive program to encourage Tijuana residents to use transit or carpool and work with U.S. authorities to do the same with U.S. residents.</t>
  </si>
  <si>
    <t>car pool</t>
  </si>
  <si>
    <t>transit</t>
  </si>
  <si>
    <t>The City of Oakland increases the frequency of street sweeping to decrease road dust, particularly on streets adjacent to schools, on designated truck routes, and on streets near freeways.</t>
  </si>
  <si>
    <t>The City of Oakland increases the frequency of street sweeping to decrease road dust, particularly on streets adjacent to schools, on designated truck routes, and on streets near freeways. The California Department of Transportation increases the frequency of street sweeping along the I-880, I-980, and I-580 freeways. Consideration is given to technology and techniques that avoid re-suspending road dust.</t>
  </si>
  <si>
    <t xml:space="preserve">street sweep </t>
  </si>
  <si>
    <t>The Alameda County Public Health Department works with agency and local partners to investigate the use of green building approaches in housing construction and renovation that will reduce emissions and exposure to air pollution emissions.</t>
  </si>
  <si>
    <t>The Alameda County Public Health Department works with agency and local partners to investigate the use of green building approaches in housing construction and renovation that will reduce emissions and exposure to air pollution emissions. This work examines weatherization/energy efficiency and renewable energy services. This work draws from the Contra Costa County Health Department's pilot effort in cooperation with the Regional Asthma Management Program.</t>
  </si>
  <si>
    <t>Collaboration for Weatherization in Homes</t>
  </si>
  <si>
    <t>Pursue a collaborative partnership with Imperial County Air Pollution Control District (ICAPCD) to address cross-jurisdictional air pollution emissions from the Salton Sea</t>
  </si>
  <si>
    <t xml:space="preserve">salton sea </t>
  </si>
  <si>
    <t>Hold a public outreach event for the first year of the implementation period to explain the requirements of Rules 402, 403, 1155, and 1157, and the South Coast AQMD’s complaint process.</t>
  </si>
  <si>
    <t>Hold a public outreach event for the first year of the implementation period to explain the requirements of Rules 402, 403, 1155, and 1157, and the South Coast AQMD’s complaint process. If necessary, determine if additional annual outreach events are needed. Provide quarterly or semiannual updates to the CSC on enforcement activities. Conduct air monitoring near Robertson’s Ready Mix and Vulcan Materials in year one.</t>
  </si>
  <si>
    <t>Rule 402</t>
  </si>
  <si>
    <t>rule 403</t>
  </si>
  <si>
    <t>rule 1155</t>
  </si>
  <si>
    <t>Reduce emissions from HD trucks</t>
  </si>
  <si>
    <t>Work with local agencies (city and county) to designate truck routes and designated truck parking areas away from sensitive receptors; provide outreach to truck owners about community ordinances, restricted truck routes and regulations, identify incentives; support acceleration of zero-emission technology; targeting incentives to local small business; continue development of a facilities based mobile source measure (indirect source rule); train on complaint reporting; participate in future rule development by CARB for trucks; and conduct focused enforcement.</t>
  </si>
  <si>
    <t xml:space="preserve">truck routes </t>
  </si>
  <si>
    <t>wwlbc</t>
  </si>
  <si>
    <t>wwlbc_2018_cerp</t>
  </si>
  <si>
    <t>Reduce emissions from HD trucks by collaborating with local business, agencies, and organizations to provide outreach to truck owners about incentives and rules; identifying new incentive opportunities; participating in future rule development by CARB for trucks; continuing development of an indirect source rule; working with local agencies to designate truck routes away from sensitive receptors; conducting focused enforcement; and targeting incentives to local small business.</t>
  </si>
  <si>
    <t>Pursue a collaborative partnership with UCR School of Medicine, provide support to the ongoing study on soil chemical and microbiome composition of the Salton Sea playa</t>
  </si>
  <si>
    <t xml:space="preserve">soil chemical and microbiome composition </t>
  </si>
  <si>
    <t>Reduce emissions from HD trucks by evaluating designated truck routes; collaborating with local business, agencies, and organizations to provide outreach to truck owners about incentives and rules; identifying new incentive opportunities; targeted incentives; participating in future rule development by CARB; develop ISRs; Conduct focused enforcement of CARB rules</t>
  </si>
  <si>
    <t>Provide in-person community specific training:  CARB will develop and implement a new program that will be offered to the West Oakland community.</t>
  </si>
  <si>
    <t>Provide in-person community specific training:  CARB will develop and implement a new program that will be offered to the West Oakland community. Information will cover topics like the fundamentals of enforcement, how the enforcement process works, instructions on filing a thorough complaint, and what to expect from the enforcement process after filing a complaint. Through this program, community members will be able to better support CARB or air district enforcement processes. CARB may also develop online trainings in the future.</t>
  </si>
  <si>
    <t>enforcement; rules and regulations</t>
  </si>
  <si>
    <t xml:space="preserve">air quality </t>
  </si>
  <si>
    <t>Zero-emission standards for new appliances are in alignment with the 2022 Scoping Plan for Achieving Carbon Neutrality (2022 Scoping Plan) as they would reduce building-related greenhouse gas (GHG) emissions.</t>
  </si>
  <si>
    <t>appliances</t>
  </si>
  <si>
    <t>zero emission</t>
  </si>
  <si>
    <t>Focused Facility Enforcement</t>
  </si>
  <si>
    <t>Conduct door-to-door focused enforcement of potential auto body shops in a CSC-identified area to ensure facilities are properly classified and to verify compliance with applicable rules and regulations</t>
  </si>
  <si>
    <t>autobody shops</t>
  </si>
  <si>
    <t>The Mobile Cargo Handling Equipment (CHE) Regulation was adopted in 2005 to reduce toxic and criteria emissions to protect public health and was fully implemented by the end of 2017.</t>
  </si>
  <si>
    <t>The Mobile Cargo Handling Equipment (CHE) Regulation was adopted in 2005 to reduce toxic and criteria emissions to protect public health and was fully implemented by the end of 2017. CARB staff is currently assessing the availability and performance of zero-emission technology to further reduce emissions.</t>
  </si>
  <si>
    <t>rules and regulations; incentives</t>
  </si>
  <si>
    <t>cargo handeling equipment</t>
  </si>
  <si>
    <t>Chrome Plating ATCM amendment;Rule 1469</t>
  </si>
  <si>
    <t>Construction Sites Enforcement</t>
  </si>
  <si>
    <t>Focused enforcement at construction sites of concern, as identified by the CSC, to evaluate compliance with CARB regulations (e.g., CARB’s Off-Road Diesel Regulation, Portable Equipment Registration Program)</t>
  </si>
  <si>
    <t xml:space="preserve">construction </t>
  </si>
  <si>
    <t>The District will partner with CARB to conduct additional targeted anti-idling enforcement efforts in Shafter community and 7-mile buffer area at least once per quarter for the next 5 years.</t>
  </si>
  <si>
    <t>The District will partner with CARB to conduct additional targeted anti-idling enforcement efforts in Shafter community and 7-mile buffer area at least once per quarter for the next 5 years. The District and CARB will work with the Community Steering Committee to identify heavy-duty vehicle idling “hot spots,” especially those near schools, to aid in focusing the enforcement efforts.</t>
  </si>
  <si>
    <t>The goal of this strategy is to limit the potential for localized PM2.5 and toxic air quality impacts associated with the failure to comply with the state’s heavy duty anti-idling regulation.  The District will partner with CARB to conduct additional targeted anti-idling enforcement efforts in the South Central Fresno community at least once per quarter for the next 5 years. The District and CARB will work with the Community Steering Committee to identify heavy-duty vehicle idling “hot spots,” especially those near schools, to aid in focusing the enforcement efforts.</t>
  </si>
  <si>
    <t>Reduce truck idling through focused enforcement; collaboration with CSC to inform community on idling reporting; engagement through outreach on existing idling complaint systems; and work with CARB and local agencies to put up no idling signs.</t>
  </si>
  <si>
    <t>idling reporting</t>
  </si>
  <si>
    <t>Transport Refrigeration Unit Regulation
Transport refrigeration units congregate at distribution centers and other facilities, resulting in the potential for health risks to those that live and work nearby.</t>
  </si>
  <si>
    <t>Transport Refrigeration Unit Regulation
Transport refrigeration units congregate at distribution centers and other facilities, resulting in the potential for health risks to those that live and work nearby. CARB is working through a public process to consider new requirements to transition the transport refrigeration units fleet to zero emission operations by requiring both zero-emission technology and supporting
infrastructure.</t>
  </si>
  <si>
    <t xml:space="preserve">rules </t>
  </si>
  <si>
    <t xml:space="preserve">refrigeration </t>
  </si>
  <si>
    <t>Transport Refrigeration Unit Regulation - Transport refrigeration units congregate at distribution centers and other facilities, resulting in the potential for health risks to those that live and work nearby.</t>
  </si>
  <si>
    <t>Transport Refrigeration Unit Regulation - Transport refrigeration units congregate at distribution centers and other facilities, resulting in the potential for health risks to those that live and work nearby. CARB is working through a public process to consider new requirements to transition the transport refrigeration units fleet to zero emission operations by requiring both zero-emission technology and supporting infrastructure.</t>
  </si>
  <si>
    <t>Transport refrigeration units congregate at distribution centers, railyards, and other facilities, resulting in the potential for health risks to those that live and work nearby.</t>
  </si>
  <si>
    <t>Provide Annual Report of Enforcement Activities:  CARB’s enforcement division will provide an annual report to the Steering Committee to update and summarize CARB’s enforcement activities within the community.</t>
  </si>
  <si>
    <t>reporting</t>
  </si>
  <si>
    <t>Drayage Truck Rule – Updated regulation to transition to zero-emission trucks.</t>
  </si>
  <si>
    <t>Rule</t>
  </si>
  <si>
    <t>drayage truck</t>
  </si>
  <si>
    <t>The California Air Resources Board develops amendments to the transport refrigeration unit (TRU) regulation to transition the TRU fleet to zero-emission operations by requiring both zero-emission technology and supporting infrastructure.</t>
  </si>
  <si>
    <t>Enforcement of existing South Coast AQMD and CARB regulations (e.g., South Coast AQMD Rule 1102, South Coast AQMD Rule 1421, CARB Airborne Toxic Control Measure (ATCM) for Emissions of PERC from Dry Cleaning Operations (Dry Cleaning ATCM));</t>
  </si>
  <si>
    <t xml:space="preserve">rule 1421 </t>
  </si>
  <si>
    <t>dry cleaners</t>
  </si>
  <si>
    <t>Real Emissions Assessment Logging System
As part of an on-board diagnostic regulation, a new emissions tracking program for excess smog-related and greenhouse gas emissions (Real Emissions Assessment Logging) will provide CARB with the ability to monitor emissions performance of all vehicles, including medium-and heavy-duty vehicles, allowing regulators to recognize and correct problems faster.</t>
  </si>
  <si>
    <t>smog assessment</t>
  </si>
  <si>
    <t>CARB is developing a handbook that identifies best practices for the siting, design, construction, and operation of freight facilities to minimize community exposure to air pollution.</t>
  </si>
  <si>
    <t>CARB is developing a handbook that identifies best practices for the siting, design, construction, and operation of freight facilities to minimize community exposure to air pollution.  The handbook is intended to serve as a tool for local governments and community advocates to use in local land use planning and permitting decisions.  The handbook will contain recommendations that local governments and freight facility developers, builders, and operators should integrate zero emission operations and technologies, and incorporate supporting infrastructure into project design. When implemented, the recommendations should lead to improved regulatory review processes, increased operational efficiencies, and reduced costs to business.</t>
  </si>
  <si>
    <t>best practices</t>
  </si>
  <si>
    <t>freight facilities</t>
  </si>
  <si>
    <t>Cargo Handling Equipment Regulation to Transition to Zero-Emissions
This strategy will amend the existing Cargo Handling Equipment regulation.</t>
  </si>
  <si>
    <t>Cargo Handling Equipment Regulation to Transition to Zero-Emissions
This strategy will amend the existing Cargo Handling Equipment regulation. This regulation applies to mobile equipment such as yard trucks, rubber-tired gantry cranes, container handlers, and forklifts that operate at ports or intermodal rail yards. The strategy will propose an implementation schedule for new equipment and infrastructure requirements, with a focus on the transition to zero emission operation, and may include provisions for efficiency improvements.</t>
  </si>
  <si>
    <t xml:space="preserve">electrifcation </t>
  </si>
  <si>
    <t>Cargo Handling Equipment Regulation to Transition to Zero-Emissions - This strategy will amend the existing Cargo Handling Equipment regulation.</t>
  </si>
  <si>
    <t>Cargo Handling Equipment Regulation to Transition to Zero-Emissions - This strategy will amend the existing Cargo Handling Equipment regulation. This regulation applies to mobile equipment such as yard trucks, rubber-tired gantry cranes, container handlers, and forklifts that operate at ports or intermodal rail yards. The strategy will propose an implementation schedule for new equipment and infrastructure requirements, with a focus on the transition to zero emission operation, and may include provisions for efficiency improvements.</t>
  </si>
  <si>
    <t>Chrome Plating Control Measure Amendments - This strategy will amend the current regulation on chrome plating to further reduce toxic air contaminants at chrome plating facilities.</t>
  </si>
  <si>
    <t>Chrome Plating Control Measure Amendments - This strategy will amend the current regulation on chrome plating to further reduce toxic air contaminants at chrome plating facilities. In December 2006, CARB approved the proposed amendments to the Hexavalent Chromium Airborne Toxic Control Measure for Chrome Plating and Chromic Acid Anodizing Operations (Chrome Plating ATCM). The Chrome Plating ATCM requires the use of control technologies and operational practices that reduce hexavalent chromium emissions to their lowest levels. Facilities are subject to hexavalent chromium emission limits based on throughput and distance to sensitive receptors. Certain facilities are required to install add-on air pollution control devices and other facilities can meet the emissions limit through the use of chemical fume suppressants. CARB staff will amend the existing chrome plating regulation to incorporate provisions to align with the federal chrome plating regulation and consider additional measures to further reduce emissions from chrome plating operations. The amendments will include the prohibition of perfluoro octane sulfonate containing fume suppressants (as required by federal regulation), changes to the surface tension requirements, and other actions to reduce uncontrolled emissions. CARB staff will also evaluate less toxic alternatives to hexavalent chromium and options to phase out perfluorinated chemicals used in fume suppressants.</t>
  </si>
  <si>
    <t>chrome plating</t>
  </si>
  <si>
    <t>This strategy will amend the current regulation on chrome plating to further reduce toxic air contaminants at chrome plating facilities, with a focus on alternative technology.</t>
  </si>
  <si>
    <t>CARB will seek opportunities to coordinate with other agencies with enforcement authority in Shafter.</t>
  </si>
  <si>
    <t>CARB will seek opportunities to coordinate with other agencies with enforcement authority in Shafter. One such opportunity could be CARB staff working with the City of Shafter to provide truck idling signage in areas where community members observe trucks idling.</t>
  </si>
  <si>
    <t>CARB will seek opportunities to coordinate with other agencies with enforcement authority in South Central Fresno.</t>
  </si>
  <si>
    <t>CARB will seek opportunities to coordinate with other agencies with enforcement authority in South Central Fresno. One such opportunity could be CARB staff working with the City of Fresno to provide truck idling signage in areas where community members observe trucks idling.</t>
  </si>
  <si>
    <t>This strategy consists of a two-phase process to evaluate California’s current emission reduction requirements for commercial cooking operations, and if necessary, make improvements to achieve additional reductions.</t>
  </si>
  <si>
    <t>Commercial Cooking Suggested Control Measure - This strategy consists of a two-phase process to evaluate California’s current emission reduction requirements for commercial cooking operations that prepare food for human consumption, and if necessary, make improvements to achieve additional reductions in particulate matter 10 microns or less in diameter (PM10), particulate matter 2.5 microns or less in diameter (PM2.5) and volatile organic compound emissions that contribute to ozone formation.</t>
  </si>
  <si>
    <t xml:space="preserve">Goal </t>
  </si>
  <si>
    <t xml:space="preserve">commercial cooking </t>
  </si>
  <si>
    <t>Commercial Cooking Suggested Control Measure
This strategy consists of a two-phase process to evaluate California’s current emission reduction requirements for commercial cooking operations that prepare food for human consumption, and if necessary, make improvements to achieve additional reductions in particulate matter 10 microns or less in diameter (PM10), particulate matter 2.</t>
  </si>
  <si>
    <t>Commercial Cooking Suggested Control Measure
This strategy consists of a two-phase process to evaluate California’s current emission reduction requirements for commercial cooking operations that prepare food for human consumption, and if necessary, make improvements to achieve additional reductions in particulate matter 10 microns or less in diameter (PM10), particulate matter 2.5 microns or less in diameter (PM2.5) and volatile organic compound emissions that contribute to ozone formation.</t>
  </si>
  <si>
    <t xml:space="preserve">commerical cooking </t>
  </si>
  <si>
    <t>This strategy consists of a two-phase process to evaluate California’s current emission reduction requirements for commercial cooking operations that prepare food for human consumption, and if necessary, make improvements to achieve additional reductions in particulate matter 10 microns or less in diameter (PM10), particulate matter 2.</t>
  </si>
  <si>
    <t>This strategy consists of a two-phase process to evaluate California’s current emission reduction requirements for commercial cooking operations that prepare food for human consumption, and if necessary, make improvements to achieve additional reductions in particulate matter 10 microns or less in diameter (PM10), particulate matter 2.5 microns or less in diameter (PM2.5) and volatile organic compound emissions that contribute to ozone formation.</t>
  </si>
  <si>
    <t>CARB is working through a public process to consider additional amendments that may further reduce emissions and pursue more stringent in-use standards, with consideration for Tier 4 engine technology and near-zero and zero emission technologies.</t>
  </si>
  <si>
    <t>CARB staff is currently assessing the availability and performance of zero-emission technology to further reduce emissions.</t>
  </si>
  <si>
    <t>CARB is committed to enhancing the quality of enforcement data for the Shafter community.</t>
  </si>
  <si>
    <t>CARB is committed to enhancing the quality of enforcement data for the Shafter community. Moving forward, CARB will maintain the location of enforcement activity and received complaints to provide the community steering committee with the most accurate data available. CARB has recently completed a visualization tool that makes CARB enforcement data more transparent and available. The tool can be accessed online by visiting https://webmaps.arb.ca.gov/edvs/.</t>
  </si>
  <si>
    <t>CARB is committed to enhancing the quality of enforcement data for the South Central Fresno community.</t>
  </si>
  <si>
    <t>CARB is committed to enhancing the quality of enforcement data for the South Central Fresno community. Moving forward, CARB will maintain the location of enforcement activity and received complaints to provide the community steering committee with the most accurate data available. CARB has recently completed a visualization tool that makes CARB enforcement data more transparent and available. The tool can be accessed online by visiting
https://webmaps.arb.ca.gov/edvs/.</t>
  </si>
  <si>
    <t>CARB is committed to enhancing the quality of enforcement data for the Stockton community.</t>
  </si>
  <si>
    <t>CARB is committed to enhancing the quality of enforcement data for the Stockton community. Moving forward, CARB will maintain the location of enforcement activity and received complaints to provide CSC with the most accurate data available.</t>
  </si>
  <si>
    <t>CARB staff are committed to updating enforcement strategies as requested by the community steering committee, if said strategies are enforceable by CARB staff or if CARB can reasonably accommodate the request (e.</t>
  </si>
  <si>
    <t>CARB staff are committed to updating enforcement strategies as requested by the community steering committee, if said strategies are enforceable by CARB staff or if CARB can reasonably accommodate the request (e.g., additional enforcement training for idling vehicles).</t>
  </si>
  <si>
    <t>CARB staff are committed to updating enforcement strategies as requested by the CSC, if said strategies fall within CARB’s jurisdiction and if CARB can reasonably accommodate the request</t>
  </si>
  <si>
    <t>CARB staff are committed to updating enforcement strategies as requested by the Steering Committee, if said strategies are enforceable by CARB staff or if CARB can reasonably accommodate the request (e.</t>
  </si>
  <si>
    <t>CARB staff are committed to updating enforcement strategies as requested by the Steering Committee, if said strategies are enforceable by CARB staff or if CARB can reasonably accommodate the request (e.g., additional enforcement training for idling vehicles).</t>
  </si>
  <si>
    <t>CARB staff are committed to updating enforcement strategies per CSC, if feasible (e.g., additional enforcement training for idling vehicles).</t>
  </si>
  <si>
    <t>CARB will collaborate with the Shafter community steering committee to actively enhance enforcement activities.</t>
  </si>
  <si>
    <t>CARB will collaborate with the Shafter community steering committee to actively enhance enforcement activities. This will be done through a combination of improved complaint reporting, more focused inspections, and report-back meetings to update the community steering committee on both the status of inspections and to obtain additional areas of mobile source concern. CARB will work with the steering committee to meet annually in order to prioritize enforcement strategies and identify possible locations where non-compliant vehicles are present. CARB will additionally report to the community the number of inspections performed, mapped locations of the enforcement, and the number of citations and/or Notices of Violations issued.</t>
  </si>
  <si>
    <t>CARB will collaborate with the South Central Fresno community steering committee to actively enhance enforcement activities.</t>
  </si>
  <si>
    <t>CARB will collaborate with the South Central Fresno community steering committee to actively enhance enforcement activities. This will be done through a combination of improved complaint reporting, more focused inspections, and report-back meetings to update the community steering committee on both the status of inspections and to obtain additional areas of mobile source concern. CARB will work with the steering committee to meet annually in order to prioritize enforcement strategies and identify possible locations where non-compliant vehicles are present. CARB will additionally report to the community the number of inspections performed, mapped locations of the enforcement, and the number of citations and/or Notices of Violations issued.</t>
  </si>
  <si>
    <t>Coordinate with other agencies:  CARB will seek opportunities to coordinate with other agencies with enforcement authority in West Oakland like the City and Port of Oakland.</t>
  </si>
  <si>
    <t>Coordinate with other agencies:  CARB will seek opportunities to coordinate with other agencies with enforcement authority in West Oakland like the City and Port of Oakland. One such opportunity could involve CARB staff working with the City of Oakland to provide truck idling signage in areas where community members observe trucks idling.</t>
  </si>
  <si>
    <t>Coordination with other agencies: CARB will seek opportunities to coordinate with other agencies with enforcement authority in Imperial County.</t>
  </si>
  <si>
    <t>Coordination with other agencies: CARB will seek opportunities to coordinate with other agencies with enforcement authority in Imperial County. Such an opportunity could consist of CARB staff working with cities to provide truck idling signage.</t>
  </si>
  <si>
    <t>Enhance CARB’s Data Management Practices.</t>
  </si>
  <si>
    <t>Enhance CARB’s Data Management Practices. CARB is committed to enhancing the quality of enforcement data for the West Oakland community. Moving forward, CARB will maintain the location of enforcement activity and received complaints to provide the Steering Committee with the most accurate data available. CARB has recently completed a visualization tool that makes CARB enforcement data more transparent and available. The tool can be accessed online by visiting https://webmaps.arb.ca.gov/edvs/.</t>
  </si>
  <si>
    <t>Enhancing CARB’s Data Management Practices: CARB is committed to enhancing the quality of enforcement data for the El Centro-Heber- Calexico Corridor.</t>
  </si>
  <si>
    <t>Enhancing CARB’s Data Management Practices: CARB is committed to enhancing the quality of enforcement data for the El Centro-Heber- Calexico Corridor. Moving forward, CARB will maintain the location of enforcement activity and received complaints to provide the Steering Committee with the most accurate data available. CARB has recently completed a visualization tool that makes CARB enforcement data more transparent and available. The tool can be accessed online by visiting https://webmaps.arb.ca.gov/edvs/.</t>
  </si>
  <si>
    <t>Increase frequency of CARB compliance inspections with guidance from the Steering Committee</t>
  </si>
  <si>
    <t>Increase frequency of CARB compliance inspections with guidance from the Steering Committee:  CARB will collaborate with the Steering Committee co-chairs to work with the Steering Committee members to actively enhance CARB enforcement activities through a combination of improved complaint reporting, more focused inspections, and report-back meetings to update the Steering Committee on the status of CARB inspections and to obtain additional areas of mobile source concern. CARB will work with the co-chairs to meet annually with the Steering Committee in order to prioritize CARB enforcement strategies and identify possible locations where non-compliant vehicles are present. CARB will report back to the Community with the number of CARB inspections performed, mapped locations of the enforcement, and the number of citations and/or Notices of Violations issued.</t>
  </si>
  <si>
    <t>Advanced Clean Cars 2
CARB would consider expanded California-specific standards for new light-duty vehicles, impacting 2026 and later model year vehicles, to increase the number of new zero emission and plug-in hybrid electric vehicles sold in California and increase the stringency of fleet-wide emission standards for greenhouse gases and criteria pollutants.</t>
  </si>
  <si>
    <t>light cuty vehicles</t>
  </si>
  <si>
    <t>CARB staff is developing the Advanced Clean Cars II regulations, which will seek to reduce criteria and greenhouse gas emissions from new light- and medium-duty vehicles beyond the 2025 model year, and increase the number of zero emission vehicles for sale.</t>
  </si>
  <si>
    <t>CARB would consider expanded California-specific standards for new light-duty vehicles</t>
  </si>
  <si>
    <t>Advanced Clean Cars 2 - CARB would consider expanded California-specific standards for new light-duty vehicles, impacting 2026 and later model year vehicles, to increase the number of new zero emission and plug-in hybrid electric vehicles sold in California and increase the stringency of fleet-wide emission standards for greenhouse gases and criteria pollutants.</t>
  </si>
  <si>
    <t>CARB would consider expanded California-specific standards for new light-duty vehicles.</t>
  </si>
  <si>
    <t>CARB would consider expanded California-specific standards for new light-duty vehicles, impacting 2026 and later model year vehicles, to increase the number of new zero emission and plug-in hybrid electric vehicles sold in California and increase the stringency of fleet-wide emission standards for greenhouse gases and criteria pollutants.</t>
  </si>
  <si>
    <t>In the absence of federal action to address harmful emissions from locomotives, CARB is developing the In-Use Locomotive Regulation to reduce criteria pollutants, toxic air contaminants, and greenhouse gas emissions.</t>
  </si>
  <si>
    <t>locomotive</t>
  </si>
  <si>
    <t>This strategy will require operators to limit idling of all combustion powered vehicles and mobile equipment operating at rail yards.</t>
  </si>
  <si>
    <t>Evaluation and Potential Development of Regulation to Reduce Idling for All Rail Yard Sources - This strategy will require operators to limit idling of all combustion powered vehicles and mobile equipment operating at rail yards and other locations, as well as reducing emissions from stationary locomotive operations (e.g., maintenance, testing). The scope will include both freight and passenger rail activities, in and around intermodal, classification, and maintenance rail yards, at seaports, at warehouses, on sidings, at passenger rail stations, and at maintenance and service locations. Locomotives with zero emission capability could be exempt, if operators show that zero emission operation is maximized.
Evaluation and Potential Development of Regulation to Reduce Emissions for Locomotives Not Preempted Under the Clean Air Act - This strategy will require the retrofit, repower, remanufacture, or replacement of freight and passenger locomotives not preempted under the Clean Air Act, beginning in 2025. Locomotives in operation beyond their useful life are typically operated by Class 3 freight railroads, industrial facilities, and passenger railroads, as well as a smaller number run by Class I railroads that can readily transfer those units to other states. Although the activity levels on these locomotives are lower than interstate line-haul and passenger locomotives, locomotives past their useful lives are the oldest and highest emitting (per unit of work performed) in the State. Prioritizing the earliest implementation in communities with high cumulative exposure burdens will be considered as part of this strategy.</t>
  </si>
  <si>
    <t>rail yards</t>
  </si>
  <si>
    <t>CARB is working through a public process to consider new requirements to transition the transport refrigeration units fleet to zero emission operations by requiring both zero emission technology and supporting infrastructure.</t>
  </si>
  <si>
    <t xml:space="preserve">refrigeration units </t>
  </si>
  <si>
    <t xml:space="preserve">electrification infrastructure </t>
  </si>
  <si>
    <t>Achieve Compliance with the Truck and Bus Regulation via Senate Bill 1:  In April 2017, the Governor signed Senate Bill 1 (SB 1) into law which included a provision that, beginning in 2020, a vehicle must demonstrate compliance with the State Truck and Bus regulation before it can be registered with the Department of Motor Vehicles (DMV).</t>
  </si>
  <si>
    <t>Achieve Compliance with the Truck and Bus Regulation via Senate Bill 1:  In April 2017, the Governor signed Senate Bill 1 (SB 1) into law which included a provision that, beginning in 2020, a vehicle must demonstrate compliance with the State Truck and Bus regulation before it can be registered with the Department of Motor Vehicles (DMV). Beginning in 2020, the DMV, in conjunction with data provided by CARB, will deny vehicle registration to non-compliant heavy-duty vehicles based on the model year of the vehicle.</t>
  </si>
  <si>
    <t>Truck</t>
  </si>
  <si>
    <t>Achieving Compliance with the Truck and Bus Regulation via Senate Bill 1.</t>
  </si>
  <si>
    <t>Achieving Compliance with the Truck and Bus Regulation via Senate Bill 1: In April 2017, the Governor signed Senate Bill 1 (SB 1) into law, which included a provision that, beginning in 2020, a vehicle must demonstrate compliance with the STB regulation before it can be registered with the Department of Motor Vehicles (DMV). Beginning in 2020, the DMV, in conjunction with data provided by CARB, will deny vehicle registration to non-compliant HDVs based on the model year of the HDV.</t>
  </si>
  <si>
    <t>Beginning in 2020, the DMV, in conjunction with data provided by CARB, will deny vehicle registration to non-compliant HDDVs based on the model year of the vehicle.</t>
  </si>
  <si>
    <t>Compliance with Senate Bill 1 (SB 1)</t>
  </si>
  <si>
    <t>In April 2017, the Governor signed Senate Bill 1 (SB 1) into law which included a provision that, beginning in 2020, a vehicle must demonstrate compliance with the STB regulation before it can be registered with the Department of Motor Vehicles (DMV). Beginning in 2020, the DMV, in conjunction with data provided by CARB, will deny vehicle registration to non-compliant HDVs based on the model year of the HDV.</t>
  </si>
  <si>
    <t>In April 2017, the Governor signed Senate Bill 1 (SB 1) into law which included a provision that, beginning in 2020, a vehicle must demonstrate compliance with the STB regulation before it can be registered with the Department of Motor Vehicles (DMV).</t>
  </si>
  <si>
    <t>In April 2017, the Governor signed Senate Bill 1 (SB 1) into law which included a provision that, beginning in 2020, a vehicle must demonstrate compliance with the STB regulation before it can be registered with the Department of Motor Vehicles (DMV).  Beginning in 2020, the DMV, in conjunction with data provided by CARB, will deny vehicle registration to non-compliant HDVs based on the model year of the HDV.</t>
  </si>
  <si>
    <t>Evaluation and Potential Development of Regulation to Reduce Idling for All Rail Yard Sources
This strategy will require operators to limit idling of all combustion powered vehicles and mobile equipment operating at rail yards and other locations, as well as reducing emissions from stationary locomotive operations (e.</t>
  </si>
  <si>
    <t>Evaluation and Potential Development of Regulation to Reduce Idling for All Rail Yard Sources
This strategy will require operators to limit idling of all combustion powered vehicles and mobile equipment operating at rail yards and other locations, as well as reducing emissions from stationary locomotive operations (e.g., maintenance, testing). The scope will include both freight and passenger rail activities, in and around intermodal, classification, and maintenance rail yards, at seaports, at warehouses, on sidings, at passenger rail stations, and at maintenance and service locations. Locomotives with zero emission capability could be exempt, if operators show that zero emission operation is maximized.
Evaluation and Potential Development of Regulation to Reduce Emissions for
Locomotives Not Preempted Under the Clean Air Act
This strategy will require the retrofit, repower, remanufacture, or replacement of freight and passenger locomotives not preempted under the Clean Air Act, beginning in 2025. Locomotives in operation beyond their useful life are typically operated by Class 3 freight railroads, industrial facilities, and passenger railroads, as well as a smaller number run by Class I railroads that can readily transfer those units to other states. Although the activity levels on these locomotives are lower than interstate line-haul and passenger locomotives, locomotives past their useful lives are the oldest and highest emitting (per unit of work performed) in the State. Prioritizing the earliest implementation in communities with high cumulative exposure burdens will be considered as part of this strategy.</t>
  </si>
  <si>
    <t>The amended regulation will accelerate the transition of SORE equipment to zero-emission equipment (ZEE) by requiring most newly manufactured small off-road engines such as those found in leaf blowers, lawn mowers and other equipment be zero emission starting in 2024.</t>
  </si>
  <si>
    <t xml:space="preserve">small off road engines </t>
  </si>
  <si>
    <t>Standards</t>
  </si>
  <si>
    <t>In 2020, CARB will consider new standards for small off-road engines (SORE), which are spark-ignition engines rated at or below 19 kilowatts and used primarily for lawn, garden, and other outdoor power equipment.</t>
  </si>
  <si>
    <t>Small Off-Road Engines - In 2020, CARB will consider new standards for small off-road engines (SORE), which are spark-ignition engines rated at or below 19 kilowatts and used primarily for lawn, garden, and other outdoor power equipment.</t>
  </si>
  <si>
    <t>In 2020, CARB will consider new standards for small off-road engines (SORE).</t>
  </si>
  <si>
    <t>In 2020, CARB will consider new standards for small off-road engines (SORE), which are spark-ignition engines rated at or below 19 kilowatts and used primarily for lawn, garden, and other outdoor power equipment</t>
  </si>
  <si>
    <t>Small Off-Road Engines
In 2020, CARB will consider new standards for small off-road engines (SORE), which are spark-ignition engines rated at or below 19 kilowatts and used primarily for lawn, garden, and other outdoor power equipment.</t>
  </si>
  <si>
    <t>This measure would establish lower NOX standards and associated test procedures for model year 2022 and subsequent model year medium-duty and heavy-duty engines.</t>
  </si>
  <si>
    <t>This measure would establish lower NOX standards and associated test procedures for model year 2022 and subsequent model year medium-duty and heavy-duty engines. CARB is in the process of evaluating the technical feasibility of this measure.</t>
  </si>
  <si>
    <t>truck routes</t>
  </si>
  <si>
    <t>rules</t>
  </si>
  <si>
    <t>Advanced Clean Trucks
CARB is working through a public process to develop and consider proposals for new approaches and strategies that may transition to zero emission technology those truck fleets that operate in urban centers, have stop and go driving cycles, and are centrally maintained and fueled.</t>
  </si>
  <si>
    <t>CARB is developing a medium and heavy-duty zero emission fleet regulation with the goal of achieving a zero-emission truck and bus California fleet by 2045 everywhere feasible and significantly earlier for certain market segments such as last mile delivery and drayage applications.</t>
  </si>
  <si>
    <t>CARB is now exploring the development of a more comprehensive heavy-duty inspection and maintenance program that would help ensure all vehicle emissions control systems are maintained adequately throughout the vehicles’ operating lives.</t>
  </si>
  <si>
    <t>inspection</t>
  </si>
  <si>
    <t>CARB is now exploring the development of a more comprehensive heavy-duty inspection and maintenance program.</t>
  </si>
  <si>
    <t>When emissions control systems are not operating correctly, in-use emissions can increase. CARB’s current inspection programs include the roadside Heavy-Duty Vehicle Inspection Program and the fleet Periodic Smoke Inspection Program. These regulations require heavy-duty vehicles operating in California to be inspected for excessive smoke and tampering. In July 2018, CARB approved amendments to the Heavy-Duty Vehicle Inspection Program and the Periodic Smoke Inspection Program to reduce the smoke opacity limits to levels more appropriate for today’s modern engine technology. CARB is now exploring the development of a more comprehensive heavy-duty inspection and maintenance program which would help ensure all vehicle emissions control systems are adequately maintained throughout the vehicles’ operating lives</t>
  </si>
  <si>
    <t>CARB is working through a public process to develop and consider proposals for new approaches and strategies that may transition to zero emission technology truck fleets</t>
  </si>
  <si>
    <t>Advanced Clean Trucks - CARB is working through a public process to develop and consider proposals for new approaches and strategies that may transition to zero emission technology those truck fleets that operate in urban centers, have stop and go driving cycles, and are centrally maintained and fueled.</t>
  </si>
  <si>
    <t>CARB is working through a public process to develop and consider proposals for new approaches and strategies that may transition to zero emission technology trucks.</t>
  </si>
  <si>
    <t>CARB is working through a public process to develop and consider proposals for new approaches and strategies that may transition to zero emission technology those truck fleets that operate in urban centers, have stop and go driving cycles, and are centrally maintained and fueled</t>
  </si>
  <si>
    <t>Drayage Truck Regulation Amendments
CARB’s Truck and Bus Regulation requires diesel trucks and buses that operate in California to be upgraded to reduce emissions.</t>
  </si>
  <si>
    <t>Drayage Truck Regulation Amendments
CARB’s Truck and Bus Regulation requires diesel trucks and buses that operate in California to be upgraded to reduce emissions. CARB’s Drayage Truck Regulation currently requires all drayage trucks to meet or exceed 2007 federal engine standards. Additionally, over the next several years, CARB will be working through a public process to consider amendments to the Drayage Truck Regulation that may transition the drayage fleet to zero emission operations.</t>
  </si>
  <si>
    <t>Drayage Truck Regulation Amendments - CARB’s Truck and Bus Regulation requires diesel trucks and buses that operate in California to be upgraded to reduce emissions.</t>
  </si>
  <si>
    <t>Drayage Truck Regulation Amendments - CARB’s Truck and Bus Regulation requires diesel trucks and buses that operate in California to be upgraded to reduce emissions. CARB’s Drayage Truck Regulation currently requires all drayage trucks to meet or exceed 2007 federal engine standards. Additionally, over the next several years, CARB will be working through a public process to consider amendments to the Drayage Truck Regulation that may transition the drayage fleet to zero emission operations.</t>
  </si>
  <si>
    <t>Heavy-Duty Inspection &amp; Maintenance
When emissions control systems are not operating correctly, in-use emissions can increase.</t>
  </si>
  <si>
    <t>Heavy-Duty Inspection &amp; Maintenance
When emissions control systems are not operating correctly, in-use emissions can increase. CARB’s current inspection programs include the roadside Heavy-Duty Vehicle Inspection Program and the fleet Periodic Smoke Inspection Program. These regulations require heavy-duty vehicles operating in California to be inspected for excessive smoke and tampering. In July 2018, CARB approved amendments to the Heavy-Duty Vehicle Inspection Program and the Periodic Smoke Inspection Program to reduce the smoke opacity limits to levels more appropriate for today’s modern engine technology. CARB is now exploring the development of a more comprehensive heavy-duty inspection and maintenance program which would help ensure all vehicle emissions control systems are adequately maintained throughout the vehicles’ operating lives.</t>
  </si>
  <si>
    <t>Heavy-Duty Inspection &amp; Maintenance - When emissions control systems are not operating correctly, in-use emissions can increase.</t>
  </si>
  <si>
    <t>Heavy-Duty Inspection &amp; Maintenance - When emissions control systems are not operating correctly, in-use emissions can increase. CARB’s current inspection programs include the roadside Heavy-Duty Vehicle Inspection Program and the fleet Periodic Smoke Inspection Program. These regulations require heavy-duty vehicles operating in California to be inspected for excessive smoke and tampering. In July 2018, CARB approved amendments to the Heavy-Duty Vehicle Inspection Program and the Periodic Smoke Inspection Program to reduce the smoke opacity limits to levels more appropriate for today’s modern engine technology. CARB is now exploring the development of a more comprehensive heavy-duty inspection and maintenance program which would help ensure all vehicle emissions control systems are adequately maintained throughout the vehicles’ operating lives.</t>
  </si>
  <si>
    <t>In December 2021 CARB approved the Heavy-Duty Inspection and Maintenance program, which acts as a ‘smog check’ regulation for medium- and heavy-duty trucks and buses.</t>
  </si>
  <si>
    <t>This strategy will involve real world screening of heavy-duty trucks and off-road engines operating in selected communities to target heavy-duty in-use compliance testing.</t>
  </si>
  <si>
    <t>This strategy will involve real world screening of heavy-duty trucks and off-road engines operating in selected communities to target heavy-duty in-use compliance testing. Engines that are found to be emitting above expected levels will be brought into CARB’s in-use compliance program. Engines found to be in noncompliance will be recalled and emission mitigation projects could include, deployment of zero emission technology in selected environmental justice communities.</t>
  </si>
  <si>
    <t>Composite Wood Products Control Measure Amendments – This strategy will amend the CARB Composite Wood Products Airborne Toxic Control Measure (ATCM), approved in 2007.</t>
  </si>
  <si>
    <t>Composite Wood Products Control Measure Amendments – This strategy will amend the CARB Composite Wood Products Airborne Toxic Control Measure (ATCM), approved in 2007. The Composite Wood Products ATCM established formaldehyde emission standards for three types of composite wood products (hardwood plywood, particleboard, and medium density fiberboard) and requires that all consumer goods that contain such materials (e.g., flooring, cabinets, furniture) destined for sale in California must comply with the Composite Wood Products ATCM. CARB staff will amend the existing Airborne Toxic Control Measure to Reduce Formaldehyde Emissions from Composite Wood Products, to obtain additional formaldehyde emission reductions, clarify requirements and applicability, improve enforceability, and align with the U.S. Environmental Protection Agency formaldehyde regulation, where appropriate. (Note: CARB cannot enforce the U.S. Environmental Protection Agency formaldehyde in composite wood regulation, because it was adopted under the Toxic Substances Control Act).</t>
  </si>
  <si>
    <t xml:space="preserve">Wood products control measure </t>
  </si>
  <si>
    <t>Future statewide mobile source measures that contribute to the estimated emission reductions in this community.</t>
  </si>
  <si>
    <t xml:space="preserve">Future statewide mobile source measures that contribute to the estimated emission reductions in this community include the CARB Advanced Clean Car 2 Rule, Advanced Clean Trucks Rule, Heavy- Duty Low NOx Rule, and Heavy- Duty Inspection and Maintenance. These measures support actions in the CERP that address emissions from neighborhood and freeway traffic from trucks and automobiles, as well  as  emissions  associated  with  railyards. </t>
  </si>
  <si>
    <t>Identify incentive opportunities to transition to community-identified alternatives (e.g., professional wet cleaning, other zero-emission technologies); Community outreach to owners or operators regarding alternatives, incentive opportunities, and seeking feedback from owners or operators regarding their willingness to transition to and/or need of support to transition to community-identified alternatives</t>
  </si>
  <si>
    <t>The Air District advocates for more electrical infrastructure and power storage, including development of (1) fast-charging facilities, (2) truck charging stations and (3) better land use support for electric trucks by 2025.</t>
  </si>
  <si>
    <t>Cross border Transit Fare Incentives: Program to coordinate transit fare systems in both San Diego (via MTS) and Tijuana (via SITT) to incentivize use of transit by cross border travelers. Fares would be discounted (i.e., reduced price, free transfer onto either system) for trips taken via the SITT system and MTS system on the same day and/or specified time.</t>
  </si>
  <si>
    <t xml:space="preserve">discounted transit fare </t>
  </si>
  <si>
    <t>Provide semiannual updates and engage the CSC on new requirements being developed by CARB and South Coast AQMD.</t>
  </si>
  <si>
    <t>Replace two line haul and two switcher locomotives at the BNSF railyard through incentive funding programs. Achieve emission reductions through mobile source incentives and statewide mobile source regulation measures as specified in Chapter 5a.</t>
  </si>
  <si>
    <t>industrial facilities and stationary sources; transportation and mobile sources</t>
  </si>
  <si>
    <t xml:space="preserve">locomotives </t>
  </si>
  <si>
    <t>The City of Oakland continues requiring new developments to provide infrastructure for electrical vehicle charging stations.</t>
  </si>
  <si>
    <t>Auto Body Shops Incentives</t>
  </si>
  <si>
    <t>Explore incentive opportunities for low-VOC paint and coatings and water-based cleaners used at auto body shops within the community; Conduct outreach to the CSC when new funding opportunities are available to incentivize low-VOC paint and coatings and water-based cleaners</t>
  </si>
  <si>
    <t>paint, coatings, and cleaners at autobody shops</t>
  </si>
  <si>
    <t>VOCs</t>
  </si>
  <si>
    <t>Conduct outreach to farm owners, operators and workers to encourage best burn practices and methods to reduce emissions</t>
  </si>
  <si>
    <t xml:space="preserve">burn practices for farmers </t>
  </si>
  <si>
    <t>Collaborative with CARB, California Department of Pesticide Regulation (DPR) and Riverside County Agricultural Commissioner to develop a pesticides air monitoring strategy.</t>
  </si>
  <si>
    <t>Pursue a collaborative partnership with CARB and consult with California Department of Pesticide Regulation (DPR) and Riverside County Agricultural Commissioner to consider developing an air monitoring strategy to study the use of pesticides in ECV</t>
  </si>
  <si>
    <t>DPR</t>
  </si>
  <si>
    <t>Consult with DPR and the Riverside County Agricultural Commissioner and collaborate with Growing Coachella Valley Local Farmers and Growers</t>
  </si>
  <si>
    <t>Pursue a collaborative partnership with Growing Coachella Valley Local Farmers and Growers to reduce emissions and exposure in ECV</t>
  </si>
  <si>
    <t>Farmers</t>
  </si>
  <si>
    <t>Pursue a collaborative partnership with IID, Regional Water Quality Control Board (RWQCB) Region 7 and State Water Regional Control Board (SWRCB) to identify opportunities to mitigate pesticide runoff into the Salton Sea</t>
  </si>
  <si>
    <t xml:space="preserve">pesticide runoff </t>
  </si>
  <si>
    <t>Increase community outreach and awareness about SDAPCD’s air quality complaint process through workshops, trainings, community events, place-based social media, etc. (Also included in Community Care//Strategy 3, Action 3)</t>
  </si>
  <si>
    <t>Increase community outreach, education, and engagement about SDAPCD generally and the air quality complaint process through workshops, trainings, community events, place-based social media, etc.</t>
  </si>
  <si>
    <t>CARB, in coordination with South Coast AQMD, to conduct community outreach on locomotive idling regulations and how to file complaints</t>
  </si>
  <si>
    <t>ocomotive idling regulations</t>
  </si>
  <si>
    <t>F.I.N.D. Tool and Filing Complaints</t>
  </si>
  <si>
    <t>Conduct community outreach on F.I.N.D. tool including training on how to use the F.I.N.D. tool to search for information about South Coast AQMD regulated facilities (e.g., facility details, equipment, permits, compliance history, etc.) and on filing air quality complaints by phone, web, or mobile application</t>
  </si>
  <si>
    <t>Provide community members and farm owners, operators and workers information relating to rules and regulations on open burning and ways to report suspected illegal burning</t>
  </si>
  <si>
    <t xml:space="preserve">illegal burning reporting </t>
  </si>
  <si>
    <t>Conduct outreach  to community members, including schools and other youth groups and farm workers on how to report illegal dumping activities</t>
  </si>
  <si>
    <t>Illgeal dumping reporting</t>
  </si>
  <si>
    <t>Engage in community outreach and provide information on Rule 415 and how to file odor complaints</t>
  </si>
  <si>
    <t xml:space="preserve">Rule 415, oder complaints </t>
  </si>
  <si>
    <t>Partner with community groups to educate locals, schools, and youth on accessing live air quality data, subscribing to alerts, reporting concerns, and using the South Coast AQMD app</t>
  </si>
  <si>
    <t>Pursue a collaborative partnership with community organizations to conduct outreach in the community (e.g., door hangers, handouts, and community events) to inform community members, schools and other youth groups (e.g., Sierra Club Youth Group), on how to access real-time air quality data, subscribe to air quality alerts, report dust complaints, and use the South Coast AQMD app to obtain air quality information</t>
  </si>
  <si>
    <t>youth</t>
  </si>
  <si>
    <t>Collaborate with community groups for outreach, including schools and youth, to educate on actions during elevated H2S levels above CA Air Quality Standard (0.03 ppm).</t>
  </si>
  <si>
    <t>Pursue a collaborative partnership with community organizations to conduct outreach in the community, including schools and other youth groups (e.g., Sierra Club Youth Group), to inform community members what to do when H2S levels are above the California Ambient Air Quality Standard (0.03 ppm)</t>
  </si>
  <si>
    <t>Develop and implement a residential air filtration and air monitoring program for residences of the International Border Community.</t>
  </si>
  <si>
    <t>Collaborate with appropriate agencies by reporting issues that fall outside of South Coast AQMD’s jurisdiction during auto body shop inspection sweeps (e.g., Bureau of Automotive Repair, California Division  of Occupational Safety and Health (Cal/OSHA), CUPA, public health departments, DTSC, local fire  departments)</t>
  </si>
  <si>
    <t>Inform Community of Pertinent Rules</t>
  </si>
  <si>
    <t>Conduct a workshop for the CSC describing applicable rules and regulations, permitting process, and enforcement efforts around auto body shops; Collaborate with partner agencies who also have jurisdiction over auto body shops (e.g., local land-use agencies, Bureau of Automotive Repair, Department of Toxics Substances Control (DTSC), Certified Unified Program Agencies (CUPA), local fire departments) to present information regarding their authority at Auto Body Shops Workshop; Collaborate with CSC to present information regarding their concerns related to auto body shops at Auto Body Shops Workshop (e.g., safer alternatives, processes to reduce emissions and exposures)</t>
  </si>
  <si>
    <t>Outreach: Conduct outreach to off-road equipment operators (i.e., CPB) on current SDAPCD fugitive dust rules and practices to reduce fugitive dust from roads.</t>
  </si>
  <si>
    <t>dust; outreach and community engagement</t>
  </si>
  <si>
    <t>regulations</t>
  </si>
  <si>
    <t>Outreach: Conduct targeted outreach to homes and businesses in locations that may be experiencing fugitive dust to increase community outreach and awareness about SDAPCD’s air quality complaint process through workshops, trainings, community events, place-based social media, etc. (Also included in Community Care//Strategy 3, Action 4)</t>
  </si>
  <si>
    <t>Conduct outreach to facility operators/workers/owners on South Coast AQMD Rules 403 – Fugitive Dust and 403.</t>
  </si>
  <si>
    <t>Conduct outreach to facility operators/workers/owners on South Coast AQMD Rules 403 – Fugitive Dust and 403.1 – Supplemental Fugitive Dust Control Requirements for Coachella Valley Sources</t>
  </si>
  <si>
    <t>Fugutive Dust rule 403</t>
  </si>
  <si>
    <t>Partner with appropriate entities to determine new or existing programs that can provide home filtration systems and weatherization.</t>
  </si>
  <si>
    <t>Partner with appropriate entities to determine new or existing programs that can provide home filtration systems and weatherization. If funding or programs become available, share information with CSC.</t>
  </si>
  <si>
    <t>Identify appropriate tree planting locations near areas of concern and seek opportunities to implement tree planting projects that support climate resilience and adaptation policies.</t>
  </si>
  <si>
    <t>Identify appropriate tree planting locations near areas of concern (e.g., mobile home parks and schools), to be updated annually, and seek opportunities to implement tree planting projects that support climate resilience and adaptation policies: Submit one to two applications if funding opportunities are identified</t>
  </si>
  <si>
    <t>Collaborate with school districts to pursue funding opportunities (i.e., grants, school budget, prioritized SDAPCD incentive funding, etc.) for air filtration systems, ZE buses, urban greening/green barriers, and charging stations.</t>
  </si>
  <si>
    <t>Identify, secure and utilize funding and pursue collaboration with appropriate entities (e.g., US Green Building Council, Southern California Gas Company) to implement home weatherization projects near the Salton Sea</t>
  </si>
  <si>
    <t>Identify, secure and utilize funding and pursue collaboration with appropriate entities (e.g., United States Green Building Council, Southern California Gas Company) to implement home weatherization projects near the Salton Sea</t>
  </si>
  <si>
    <t>IBCSC to pursue collaborative partnerships with SDAPCD Rule Development, in consultation with CARB to identify warehouses in San Ysidro and Otay Mesa, their square footage, and amount of emissions from heavy-duty vehicles traveling to and from the warehouses to inform the development of an Indirect Source Rule.</t>
  </si>
  <si>
    <t>Identify Facilities of Concern</t>
  </si>
  <si>
    <t xml:space="preserve">Collaborate with CSC to improve outreach to small businesses to encourage incorporation of best management and “Good Neighbor” practices; </t>
  </si>
  <si>
    <t>Training and outreach about zero emission freight technology (e.g., workshops, sources, truck sharing program) to help carriers become familiar with the technology.</t>
  </si>
  <si>
    <t>truck technology</t>
  </si>
  <si>
    <t>IBCSC to pursue collaborative partnerships with SANDAG, Caltrans, and CARB to prepare a feasibility study to determine needs and potential locations of truck parking facilities. This feasibility study might explore potential public-private partnership opportunities.</t>
  </si>
  <si>
    <t>Agency Collaboration</t>
  </si>
  <si>
    <t>Pursue collaborations with local agencies (e.g., city, county, transportation) to identify strategies to address the CSC’s concerns with truck traffic and designated truck routes (e.g., enforcement of truck routes, proximity to sensitive receptors, feasibility of physical barriers for residential neighborhoods)</t>
  </si>
  <si>
    <t xml:space="preserve">truck traffic </t>
  </si>
  <si>
    <t>barriers</t>
  </si>
  <si>
    <t>Consistent with the State's Building Energy Efficiency Standards for air filtration in effect as of January 1, 2020, the City of Oakland requires newly constructed buildings of four or more habitable floors to include air filtration systems equal to or greater than MERV 13 (ASHRAE Standard 52.</t>
  </si>
  <si>
    <t>Consistent with the State's Building Energy Efficiency Standards for air filtration in effect as of January 1, 2020, the City of Oakland requires newly constructed buildings of four or more habitable floors to include air filtration systems equal to or greater than MERV 13 (ASHRAE Standard 52.2), or a particle size efficiency rating equal to or greater than 50 percent in the 0.3-1.0 μm range and equal to or greater than 85 percent in the 1.0-3.0 μm range (AHRI Standard 680).</t>
  </si>
  <si>
    <t>Collaboration for Air Filtration in Homes</t>
  </si>
  <si>
    <t>residential weatherization</t>
  </si>
  <si>
    <t>The Port of Oakland, as part of the 2020 and Beyond Seaport Air Quality Plan, supports the transition to zero-emission drayage truck operations, including setting interim year targets out to 2035, coordinating an extensive zero-emission truck commercialization effort, working with the City of Oakland to amend local ordinances to increase the allowable weight limits for single-axle, zero-emission trucks on local streets located within the Port and the Oakland Army Base/Gateway areas, and developing an investment plan for needed upgrades to the Port’s electrical infrastructure.</t>
  </si>
  <si>
    <t>The Port of Oakland, as part of the 2020 and Beyond Seaport Air Quality Plan, supports the transition to zero-emission drayage truck operations, including setting interim year targets out to 2035, coordinating an extensive zero-emission truck commercialization effort, working with the City of Oakland to amend local ordinances to increase the allowable weight limits for single-axle, zero-emission trucks on local streets located within the Port and the Oakland Army Base/Gateway areas, and developing an investment plan for needed upgrades to the Port’s electrical infrastructure. The Port of Oakland also works with the California Public Utilities Commission and the California Energy Commission to study the development of time-of-day electric rate structures favorable to truck operators.</t>
  </si>
  <si>
    <t xml:space="preserve">port </t>
  </si>
  <si>
    <t>zero emissions</t>
  </si>
  <si>
    <t>Advocate to the City of San Diego City Council (and or County Board of Supervisors) for a moratorium on the construction of new warehouse facilities in Otay Mesa until 75% of fleets in San Diego (city or county) are electrified.</t>
  </si>
  <si>
    <t>transportation and mobile sources; rules and regulations</t>
  </si>
  <si>
    <t>warehouse</t>
  </si>
  <si>
    <t>CARB to present the Trucks Transport Refrigeration Unit (TRU) Regulation to their Board to begin the transition of TRUs to zero emission technologies and require use of lower global warming potential refrigerants</t>
  </si>
  <si>
    <t xml:space="preserve">refridgeration </t>
  </si>
  <si>
    <t>Coordinate with CHP, SDAPCD, and CARB to increase inspections of heavy-duty trucks in Otay Mesa to ensure compliance.</t>
  </si>
  <si>
    <t>Support the creation and prioritization of urban green spaces (i.e., street trees and vegetation) near sensitive receptors which include adjacent to schools, parks, senior centers, and medical facilities and any other area where there may be people with elevated health risk to poor air quality (children, elderly, chronically ill, etc.).</t>
  </si>
  <si>
    <t>Pursue grant funding opportunities to fund urban greening projects (i.e., street trees and vegetation).</t>
  </si>
  <si>
    <t>land use; incentives</t>
  </si>
  <si>
    <t>Encourage the deployment of zero-emission trucks in the Southeast Los Angeles community where commercially available</t>
  </si>
  <si>
    <t>Continue existing and pursue additional collaborative partnerships</t>
  </si>
  <si>
    <t>CARB will work with CSC and SDAPCD to review enforcement data to determine how to direct and prioritize diesel vehicle enforcement activities and locations.</t>
  </si>
  <si>
    <t>Reduce Emissions from Ships and Harbor Craft: Work with Ports to engage in outreach to shipping lines and harbor craft owners to discuss incentives; identify additional incentive funding opportunities; conduct demonstration projects for retrofit technologies; and support CARB's rule development for At-Berth Regulation and Commercial Harbor Craft Regulation</t>
  </si>
  <si>
    <t>Outreach to shipping lines and harbor craft owners</t>
  </si>
  <si>
    <t>Reduce Exposure to Harmful Air Pollutants at Schools: Continue installation of school air filtration systems with priority given to schools near truck routes, railyards, major freeways; and explore opportunities for additional schools and funding to provide filter replacements for schools already equipped with filtration systems.</t>
  </si>
  <si>
    <t xml:space="preserve">Incentives for Air Filtrations in Schools </t>
  </si>
  <si>
    <t>Support private truck parking site development/Zero Emissions charging through grant support and establishment of public-private partnerships.</t>
  </si>
  <si>
    <t>Transport refrigeration units congregate at distribution centers, railyards, and other facilities, resulting in the potential for health risks to those that live and work nearby. CARB is working through a public process to consider new requirements to transition the transport refrigeration units fleet to zero emission operations by requiring both zero emission technology and supporting infrastructure.</t>
  </si>
  <si>
    <t>Risk of refrigeration facilities to public</t>
  </si>
  <si>
    <t>Support the development of ZE and electric vehicle (EV) strategies for the region including opportunities in the International Border Communities.</t>
  </si>
  <si>
    <t>Reduce emission from ships and harbor craft by working with Ports to engage in outreach to shipping lines and harbor craft owners to discuss incentives; identifying additional incentive funding opportunities; conducting demonstration projects for retrofit technologies; and supporting CARB's rule development for At-Bert Regulation and Commercial Harbor Craft Regulation</t>
  </si>
  <si>
    <t>Support the implementation of an EV car sharing network. (County of San Diego Regional Decarbonization Framework).</t>
  </si>
  <si>
    <t>Support and implement efforts such as SD Clean Cars for All Vehicle rebate programs for cleaner vehicles and ensure targeted outreach to people living in San Ysidro and Otay Mesa.</t>
  </si>
  <si>
    <t>Support opportunities for workforce development programs to support the transition to electric trucks (i.e., drivers, mechanics, charging infrastructure installers, etc.).</t>
  </si>
  <si>
    <t>job training</t>
  </si>
  <si>
    <t>Use optical gas imaging technology to identify oil tankers with fugitive leaks and board marine vessels to evaluate potential violations with Rule 1142.</t>
  </si>
  <si>
    <t>Use optical gas imaging technology to identify oil tankers with fugitive leaks and board marine vessels to evaluate potential violations with Rule 1142. Evaluate opportunities to improve Rule 1142 through a potential rule amendment; Conduct enhanced inspections to ensure compliance with CARB's regulations; work with SCAQMD, CARB, and Ports' tenants to facilitate contact between the regulatory agencies and tenants to arrange inspections of terminals</t>
  </si>
  <si>
    <t>In-Use Locomotive Regulation: CARB adopted a regulation to reduce criteria pollutants, toxic air contaminants, and greenhouse gas emissions for locomotives in-use in April 2023.</t>
  </si>
  <si>
    <t>limiting pollutants</t>
  </si>
  <si>
    <t>2025 Mobile Source Strategy - CARB staff is initiating development of the 2025 Mobile Source Strategy with a plan to build on the integrated planning approach used in development of the 2016 and 2020 Mobile Source Strategies to identify the level of transition to cleaner mobile source technologies needed to achieve all of California’s air quality and climate targets.</t>
  </si>
  <si>
    <t>mobile source</t>
  </si>
  <si>
    <t>Reduce emissions from port equipment (cargo handling equipment) and ZEDT trucks by supporting CARB's development of updates to Cargo Handling Equipment Regulation, ZEDT Truck regulation, NZE standard for HD truck; supporting Ports' CAAP implementation; enforcing existing ZEDT truck regulation; identifying additional incentive funding opportunities to accelerate cleaner equipment; and developing facility based mobile source measure with Ports through MOU.</t>
  </si>
  <si>
    <t>Evaluate transportation planning around Plaza de las Americas and support recommendations that improve traffic flow, reduce VMT, support walking, biking, and taking public transit, and reduce emissions from passenger vehicles.</t>
  </si>
  <si>
    <t>Advocate for CARB's State Implementation Plan (SIP) actions that support the reduction of emissions of passenger vehicles or require zero emission alternatives.</t>
  </si>
  <si>
    <t>vehicle</t>
  </si>
  <si>
    <t>Advocate for Mexican and U.S. authorities to perform inspections and enforce laws on passenger vehicles emissions.</t>
  </si>
  <si>
    <t>CARB’s existing commercial harbor craft regulation was adopted in 2007 and will be fully implemented by the end of 2022.</t>
  </si>
  <si>
    <t>CARB’s existing commercial harbor craft regulation was adopted in 2007 and will be fully implemented by the end of 2022. CARB is working through a public process to consider additional amendments that may further reduce emissions and pursue more stringent in-use standards, with consideration for Tier 4 engine technology and near-zero and zero emission technologies.</t>
  </si>
  <si>
    <t>Rule Review</t>
  </si>
  <si>
    <t>Commercial Vehicle Enforcement Facility (CVEF) modernization: Improvements to the CVEF to reflect General Service Administration's proposed Otay Mesa POE Modernization Project.</t>
  </si>
  <si>
    <t>Reduce Exposure to Harmful Air Pollutants in Homes: Identifying new or existing technologies, programs, and funding sources that can provide the most effective air filtration systems in homes.</t>
  </si>
  <si>
    <t>Reduce Leaks from Oil Tankers: Use optical gas imaging technology, air measurements, and other information to identify leaks from oil tankers to enforce Rule 1142; evaluate amending Rule 1142 to minimize fugitive emission leaks</t>
  </si>
  <si>
    <t>Identify leaks from oil tankers (Rule 1142)</t>
  </si>
  <si>
    <t>The California Air Resources Board develops the following regulations to increase the number of zero-emission trucks and buses operating in West Oakland: The Advanced Clean Trucks regulation to transition to zero-emission technology those truck fleets that operate in urban centers, have stop-and-go driving cycles, and are centrally maintained and fueled; Amendment to the drayage truck regulation to transition the drayage truck fleet to zero emissions.</t>
  </si>
  <si>
    <t>This measure would seek to accelerate the number of zero-emissions (ZE) trucks beyond existing measures (including the proposed Advanced Clean Fleets regulation).</t>
  </si>
  <si>
    <t>Update enforcement measures as applicable:  CARB staff are committed to updating enforcement strategies as requested by the Steering Committee, if said strategies are enforceable by CARB staff or if CARB can reasonably accommodate the request (e.</t>
  </si>
  <si>
    <t>Update enforcement measures as applicable:  CARB staff are committed to updating enforcement strategies as requested by the Steering Committee, if said strategies are enforceable by CARB staff or if CARB can reasonably accommodate the request (e.g., additional enforcement training for idling vehicles). As new CARB regulations included in the Plan are adopted, CARB will enforce these measures and integrate associated activities and data into the West Oakland enforcement measures.</t>
  </si>
  <si>
    <t>Reduce Emissions from Port Equipment (Cargo Handling Equipment) and Drayage Trucks: Support CARB's development of updates to Cargo Handling Equipment Regulation, Drayage Truck regulation; support Ports' CAAP implementation; enforcement of existing drayage truck regulation; identify additional incentive funding opportunities to accelerate cleaner equipment; and develop a facility based mobile source measure with Ports through MOU.</t>
  </si>
  <si>
    <t>Staff are assessing zero emission options for non-truck TRUs and plan to take a second rulemaking (Part 2) to the Board for consideration in 2025.</t>
  </si>
  <si>
    <t xml:space="preserve">vehicle </t>
  </si>
  <si>
    <t>This strategy will amend the CARB Composite Wood Products Airborne Toxic Control Measure (ATCM), approved in 2007.</t>
  </si>
  <si>
    <t>Reduce Truck Idling: Conduct focused enforcement; collaborate with CSC to inform community on idling reporting; engage in community outreach on existing idling complaint systems; and work with CARB and local agencies to put up no idling signs.</t>
  </si>
  <si>
    <t>Enforcement for Idling</t>
  </si>
  <si>
    <t>Pursue emission reductions from open burning</t>
  </si>
  <si>
    <t>Mandate for truck manufacturers to sell zero-emission trucks.</t>
  </si>
  <si>
    <t>Mandate for truck manufacturers to sell zero-emission trucks. By 2030, zero-emission truck/chassis sales would need to be 50% of class 4 – 8 ‘straight’ trucks sales and 15% of all other truck sales. Also requires fleet reporting.</t>
  </si>
  <si>
    <t>sales</t>
  </si>
  <si>
    <t>Increase Green Space in Areas Where People Spend Time: Identify new or existing sources or programs that can provide funding for tree planting and the expansion of green space using native, drought tolerant plants.</t>
  </si>
  <si>
    <t>Outreach and Community Engagement</t>
  </si>
  <si>
    <t>Provide additional air quality expertise</t>
  </si>
  <si>
    <t>Reduce Emissions from Heavy-Duty Trucks: Collaborate with local business, agencies, and organizations to provide outreach to truck owners about incentives and rules; identify new incentive opportunities; participate in future rule development by CARB for trucks; continue development of an indirect source rule; work with local agencies to designate truck routes, provide data on locations with heavy truck impacts and prevent truck traffic in neighborhoods; target incentives to local small businesses; conduct focused enforcement.</t>
  </si>
  <si>
    <t>Collaboration and Outreach with Local Business and Organizations for Heavy Duty Diesel Trucks</t>
  </si>
  <si>
    <t>Installation of air filtration systems</t>
  </si>
  <si>
    <t>Installation of air filtration systems in schools, childcare centers, and community centers with priority given to schools located in areas with high diesel PM levels and close to facilities identified as a priority by the CSC.</t>
  </si>
  <si>
    <t>Identify funds for home weatherization projects in ECV to support climate resilience and adaptation policies</t>
  </si>
  <si>
    <t>Incentives: Identify funding and pursue collaboration with appropriate entities to implement home weatherization projects for homes most impacted by dust from CBP and other operations.</t>
  </si>
  <si>
    <t>dust; incentives</t>
  </si>
  <si>
    <t xml:space="preserve">Explore incentive opportunities to support implementation of best management practices, and/or  installation of emission reduction technologies at oil and gas facilities; </t>
  </si>
  <si>
    <t>technology upgrades</t>
  </si>
  <si>
    <t>Transport Refrigeration Unit Regulation Part 2: CARB staff are developing requirements to transition diesel powered TRUs to zero emission technology in two phases. Part 1 consists of amendments to the TRU Airborne Toxic Control Measure, which the Board approved at its February 2022 meeting. The amendments include requirements for the transition of diesel-powered truck TRUs to zero emission, a particulate matter emission standard for newly manufactured non-truck TRUs, lower global warming potential refrigerant, facility registration and reporting, expanded TRU reporting and labeling, and fees. CARB plans to develop a subsequent Part 2 regulation to require zero-emission trailer TRUs, domestic shipping container TRUs, railcar TRUs, and TRU generator sets for future Board consideration.</t>
  </si>
  <si>
    <t>Refrigeration</t>
  </si>
  <si>
    <t>Toll discounts for Zero Emission trucks.</t>
  </si>
  <si>
    <t>toll discounts</t>
  </si>
  <si>
    <t>Identify new sources of funding, including new fees, to promote zero emission trucks and other emissions reduction opportunities at the international port.</t>
  </si>
  <si>
    <t>Partner with other entities to determine new or existing sources or programs that can provide funding for near zero or zero-emission school buses.</t>
  </si>
  <si>
    <t>Identify funding opportunities to replace older diesel school buses with zero or near-zero emission school buses in ECV in all school districts within ECV</t>
  </si>
  <si>
    <t>Through the development of the Railyard Indirect Source Rule, and incentive programs, pursue the replacement of older diesel-fueled equipment at railyards</t>
  </si>
  <si>
    <t xml:space="preserve">incentives </t>
  </si>
  <si>
    <t xml:space="preserve">railyard indirect source rule </t>
  </si>
  <si>
    <t>Incentives: Identify opportunities to reduce dust from paved and unpaved roads in the community through road paving improvements prioritizing areas identified by IBCSC. Additionally, identify and stabilize loose road surfaces with grading and gravel on unpaved roads and maintain treated roads in high priority areas (i.e., where CBP activities are kicking up dust) for surface stabilizing projects (i.e., road paving).</t>
  </si>
  <si>
    <t xml:space="preserve">infrastructure development </t>
  </si>
  <si>
    <t xml:space="preserve">Paved and Unpaved roads </t>
  </si>
  <si>
    <t>Explore the possibility of using ALPR systems in this community and prioritize locations for ALPR systems based on community input.</t>
  </si>
  <si>
    <t>Explore the possibility of using ALPR systems in this community and prioritize locations for ALPR systems based on community input. Once ALPR systems have been deployed, provide ALPR data to the City and County to work towards truck routes. Provide quarterly or biannual updates to the CSC on progress made to collect and use data from these systems. Achieve emission reductions through mobile source incentives and statewide mobile source regulation measures as specified in Chapter 5a. Conduct targeted outreach to provide information on incentive programs.</t>
  </si>
  <si>
    <t>Identify funding to install zero emission charging infrastructure in the ECV</t>
  </si>
  <si>
    <t>Pursue a collaborative partnership with Riverside County, the City of Indio and the City of Coachella to identify, secure and implement urban greening projects near sensitive receptors near the Salton Sea</t>
  </si>
  <si>
    <t>Collaborate with nonprofits, local, and regional agencies to provide letters of support and air quality information for urban greening funding opportunities</t>
  </si>
  <si>
    <t>Continue complaint response including SELA complaint tracking, provide timely updates to complainants, continue Rule 415 compliance inspections, and provide an annual summary of findings to the CSC.</t>
  </si>
  <si>
    <t>odor complaints</t>
  </si>
  <si>
    <t>Rule 415</t>
  </si>
  <si>
    <t>Implement EV charging infrastructure incentive program.</t>
  </si>
  <si>
    <t>Evaluate and alter traffic routes at pick up and drop off areas near the border to reduce emissions from passenger vehicles and public health impacts.</t>
  </si>
  <si>
    <t xml:space="preserve">Services </t>
  </si>
  <si>
    <t>Continue development of the Warehouse Indirect Source Rule (ISR) to reduce emissions from large warehouses and fulfillment centers</t>
  </si>
  <si>
    <t>indirect source rule</t>
  </si>
  <si>
    <t>CARB’s statewide strategy provided in this CERP accounts for the combined effects of regulations currently under rulemaking for a future year.</t>
  </si>
  <si>
    <t>Future statewide mobile source measures that contribute to the estimated emission reductions in this community include the CARB Shore Power for Ocean-Going Vessels At-Berth Rule, Advanced Clean Truck Rule, Heavy-Duty Low NOx Rule, and Heavy-Duty Inspection and Maintenance.</t>
  </si>
  <si>
    <t>Future statewide mobile source measures that contribute to the estimated emission reductions in this community include the CARB Shore Power for Ocean-Going Vessels At-Berth Rule, Advanced Clean Truck Rule, Heavy-Duty Low NOx Rule, and Heavy-Duty Inspection and Maintenance. These measures support actions in the CERP that address Neighborhood Truck Traffic, Ports, and Railyards.</t>
  </si>
  <si>
    <t>rules and regulations; transportation and mobile sources</t>
  </si>
  <si>
    <t xml:space="preserve">ports </t>
  </si>
  <si>
    <t>Reducing Emissions from Oil and Gas Systems
The Short-Lived Climate Pollutant Reduction Strategy establishes a goal of reducing fugitive methane emissions from oil and gas by 40 percent below current levels in 2025 and a minimum 45 percent in 2030, and from all other sources by 40 percent in 2030.</t>
  </si>
  <si>
    <t>Reducing Emissions from Oil and Gas Systems
The Short-Lived Climate Pollutant Reduction Strategy establishes a goal of reducing fugitive methane emissions from oil and gas by 40 percent below current levels in 2025 and a minimum 45 percent in 2030, and from all other sources by 40 percent in 2030. In addition to California’s comprehensive and stringent emerging framework to reduce methane emissions from oil and gas systems, in 2017 CARB adopted and is now implementing, with the help of the local air districts, a regulation that will reduce fugitive methane emissions by about 44 percent by 2021 from the oil and gas production, processing, and storage sector. This regulation is also estimated to reduce volatile organic compounds emissions from oil and gas operations statewide by over 3,600 tons per year, and to reduce toxic air contaminant emissions (such as benzene, toluene, ethyl-benzene, and xylenes) by over 100 tons per year statewide from oil and gas operations.</t>
  </si>
  <si>
    <t xml:space="preserve">methane </t>
  </si>
  <si>
    <t>The Short-Lived Climate Pollutant Reduction Strategy establishes a goal of reducing fugitive methane emissions from oil and gas production.2030.</t>
  </si>
  <si>
    <t>Reducing Emissions from Oil and Gas Systems - The Short-Lived Climate Pollutant Reduction Strategy establishes a goal of reducing fugitive methane emissions from oil and gas by 40 percent below current levels in 2025 and a minimum 45 percent in 2030, and from all other sources by 40 percent in 2030. In addition to California’s comprehensive and stringent emerging framework to reduce methane emissions from oil and gas systems, in 2017 CARB adopted and is now implementing, with the help of the local air districts, a regulation that will reduce fugitive methane emissions by about 44 percent by 2021 from the oil and gas production, processing, and storage sector. This regulation is also estimated to reduce volatile organic compounds emissions from oil and gas operations statewide by over 3,600 tons per year, and to reduce toxic air contaminant emissions (such as benzene, toluene, ethyl-benzene, and xylenes) by over 100 tons per year statewide from oil and gas operations.</t>
  </si>
  <si>
    <t>methane</t>
  </si>
  <si>
    <t>Cross Border Transit Service: A transit service that crosses the border in both directions with pre-screened travelers (ideally in a Trusted Traveler Program). Partnerships with a private entity could be advantageous. This service may also be privately operated; company-run shuttles may carry employees across the border. A Mobility-as-a-Service (MaaS) model is also an option.</t>
  </si>
  <si>
    <t>Advanced Clean Truck Rule –   Mandate for truck manufacturers to sell zero-emission trucks and would require fleet reporting.</t>
  </si>
  <si>
    <t>Advanced Clean Truck Rule –   Mandate for truck manufacturers to sell zero-emission trucks and would require fleet reporting. By 2030, there will be a zero-emission truck/chassis sales requirement.</t>
  </si>
  <si>
    <t xml:space="preserve">rule </t>
  </si>
  <si>
    <t>Cross border Trolley: Extension of Blue Line Trolley service 1-mile into Tijuana. Coordinated customs inspection processing for vetting traveler information in advance of trip.</t>
  </si>
  <si>
    <t>Dedicated Bicycle Lanes/Network: Dedicated bicycle lanes at crossing facilities to bypass car traffic and enable priority processing. This may include working with municipalities to expand bike lanes that connect to surrounding communities in San Ysidro and Otay Mesa.</t>
  </si>
  <si>
    <t>Smart Mobility Center/Mobility Hub: Multimodal transportation hub with amenities for travelers and to facilitate seamless travel connections. Primary amenities include, but are not limited to, secure bicycle storage, cross border bike share, transit and mobility services, internet access, travel information desks, clean restrooms, and Border Kiosks. Secondary amenities, include but are not limited to, park and ride facilities (with reservation options), safe pick up and drop off locations for shared mobility options (including scooters and bicycles), safe drop off locations for travelers dropped off in passenger vehicles (including personal vehicles or taxis), rental cars, coffee shops, duty free shopping, and restaurants. All these amenities would be ADA accessible.</t>
  </si>
  <si>
    <t>amenities</t>
  </si>
  <si>
    <t>Wireless electric charging for trucks in queue.</t>
  </si>
  <si>
    <t>Dynamic Lane Operations: Lanes for various modes are adjusted dynamically based on historical crossing trends and current needs for both northbound and southbound to accommodate any configuration of modes. A designated HOV lane for transit may help make a cross border transit service a more competitive option.</t>
  </si>
  <si>
    <t>Improved Public Information and Notifications on Activities at Oil Drilling and Production Sites: Develop fact sheets to summarize findings of air measurement data, complaint response, and inspections of oil drilling and production facilities; work with local public health departments on health-related messaging on risks posed by oil drilling and production and how to reduce exposure risks; work with local public health departments to distribute fact sheets; review the LA County DPH Community Health Improvement Plan to incorporate air quality information to address oil drilling site emissions; work with stakeholders to identify key areas for improvement in Rule 1148.</t>
  </si>
  <si>
    <t>Improved Public Information and Notifications on Activities at Oil Drilling and Production Sites: Develop fact sheets to summarize findings of air measurement data, complaint response, and inspections of oil drilling and production facilities; work with local public health departments on health-related messaging on risks posed by oil drilling and production and how to reduce exposure risks; work with local public health departments to distribute fact sheets; review the LA County DPH Community Health Improvement Plan to incorporate air quality information to address oil drilling site emissions; work with stakeholders to identify key areas for improvement in Rule 1148.2; and provide community workshops on notifications</t>
  </si>
  <si>
    <t>Collaboration and Outreach for Oil Drilling and Production</t>
  </si>
  <si>
    <t>oil</t>
  </si>
  <si>
    <t>rule 1148</t>
  </si>
  <si>
    <t>Develop an Indirect Source Rule and/or other enforceable indirect source control strategies to reduce emissions from heavy-duty trucks in Otay Mesa and San Ysidro.</t>
  </si>
  <si>
    <t>Trucks</t>
  </si>
  <si>
    <t>Build zero emission truck charging/parking/staging infrastructure in the industrial area of Otay Mesa.</t>
  </si>
  <si>
    <t>Mobile Source Incentives</t>
  </si>
  <si>
    <t>Explore opportunities for incentive funds for cleaner mobile source technologies (e.g., lower emitting trucks and buses, electric vehicles) within the community (e.g., schools, small businesses, independent truck owners or operators); Conduct outreach to the CSC when new funding opportunities (e.g., Replace Your Ride) are available to incentivize replacing older, higher polluting on-road (e.g., trucks and buses, cars) and off-road (e.g., locomotives) equipment with cleaner technology</t>
  </si>
  <si>
    <t>vehicle technology</t>
  </si>
  <si>
    <t>community_id</t>
  </si>
  <si>
    <t>community_name</t>
  </si>
  <si>
    <t>geojson_community_name</t>
  </si>
  <si>
    <t>district</t>
  </si>
  <si>
    <t>include</t>
  </si>
  <si>
    <t>strategy</t>
  </si>
  <si>
    <t>subcategory</t>
  </si>
  <si>
    <t>subsubcategory</t>
  </si>
  <si>
    <t>original_funding</t>
  </si>
  <si>
    <t>available_funding</t>
  </si>
  <si>
    <t>contracted_funding</t>
  </si>
  <si>
    <t>spent_funding</t>
  </si>
  <si>
    <t>total_funding</t>
  </si>
  <si>
    <t>progress</t>
  </si>
  <si>
    <t>funding_notes</t>
  </si>
  <si>
    <t>includes_other_agencies</t>
  </si>
  <si>
    <t>Type of Strategy</t>
  </si>
  <si>
    <t>Scope of Community Beneficiaries</t>
  </si>
  <si>
    <t>Ease of Implementation</t>
  </si>
  <si>
    <t xml:space="preserve">Notes </t>
  </si>
  <si>
    <t xml:space="preserve">Sources </t>
  </si>
  <si>
    <t>West Oakland</t>
  </si>
  <si>
    <t>west_oakland</t>
  </si>
  <si>
    <t>baad</t>
  </si>
  <si>
    <t>yes</t>
  </si>
  <si>
    <t>Incentives for Truck Replacement</t>
  </si>
  <si>
    <t>Box and Yard Trucks</t>
  </si>
  <si>
    <t>Air District</t>
  </si>
  <si>
    <t>1. Emission Reduction</t>
  </si>
  <si>
    <t>3. Industries</t>
  </si>
  <si>
    <t xml:space="preserve">In Feburary 2024, 6 trucks updated
BAAD indicated $2,270,390.00 awarded. </t>
  </si>
  <si>
    <t>CERP Dashboard, CERP, CAP Incentives,BAAD</t>
  </si>
  <si>
    <t>Other</t>
  </si>
  <si>
    <t>Not Applicable</t>
  </si>
  <si>
    <t>City</t>
  </si>
  <si>
    <t>2. Exposure Mitigation</t>
  </si>
  <si>
    <t>2. Targeted Benefits</t>
  </si>
  <si>
    <t>Pre-existing requirement, separate from AB 617</t>
  </si>
  <si>
    <t>Charging Infrastructure</t>
  </si>
  <si>
    <t>Residential</t>
  </si>
  <si>
    <t>3. Community Investment</t>
  </si>
  <si>
    <t>1. Universal Benefits</t>
  </si>
  <si>
    <t>Completed. The City requires this for all new construction, which must have hook ups and “make-ready infrastructure” for vehicle charging stations; requires 100% of parking spaces in residential buildings to be plug-in electric capable; adopted standard requirements can be found on the City's Municipal Code and Charter page, in Chapter 15.04, Part 11.
Completed in 2022</t>
  </si>
  <si>
    <t>WOCAP Tracker</t>
  </si>
  <si>
    <t>Warehouses</t>
  </si>
  <si>
    <t xml:space="preserve"> The City of Oakland adopts policies to lessen air quality impacts of residential and office buildings through the reduction or elimination of natural gas systems.</t>
  </si>
  <si>
    <t>Limit Natural Gas</t>
  </si>
  <si>
    <t>1. Public Agencies</t>
  </si>
  <si>
    <t>The City adds the AB 617 Steering Committee Co-Chairs to the official lists to receive notification of “Applications on File” for discretionary planning projects and “Meeting Agendas” of the Planning Commission and its five subcommittees, and the Landmarks Preservation Board.</t>
  </si>
  <si>
    <t>Planning Commission</t>
  </si>
  <si>
    <t>Community Involvement</t>
  </si>
  <si>
    <t>CARB</t>
  </si>
  <si>
    <t xml:space="preserve">Community and Health Equity Collaboration and Programing </t>
  </si>
  <si>
    <t>Involvement</t>
  </si>
  <si>
    <t>Data Accessibility from CARB</t>
  </si>
  <si>
    <t>Communication with CSC</t>
  </si>
  <si>
    <t>CARB collaborate with CSC</t>
  </si>
  <si>
    <t>Reporting</t>
  </si>
  <si>
    <t>Provide Annual Report on Enforcement Activities of Stationary Sources: The Air District’s Compliance &amp; Enforcement Division will provide an annual update to the Steering Committee summarizing the progress of the West Oakland Enforcement Strategy at the end of each calendar year for the next 5 years. The update will include the following information:
• Provide an annual inspection summary to the Steering Committee noting inspection results and a general description of violations in the West Oakland area;
• Number of complaints received in the West Oakland area, including a description of the types of complaints.</t>
  </si>
  <si>
    <t>CERP Strategy Enforcement by CARB</t>
  </si>
  <si>
    <t>Stationary Sources(Enf_AD_1)
Increase Frequency of Compliance Inspections at Stationary Sources:  To ensure compliance with air quality standards, rules and regulations, the Air District’s Compliance &amp; Enforcement Division will enhance inspection frequencies in the West Oakland area for the next 5 years:
• Inspect all the permitted facilities and sources within a 2-year period;
• Inspect any unpermitted facilities and sources identified by the Steering Committee; and
• Annually track and document the number of inspections conducted, including type, date and location.
Update
Completed per 2021 Annual Report
CARB deployed the Portable Emissions Acquisition System (PEAQS) emissions screening device in West Oakland in late August and October of 2022. Both deployments were located at 3rd and Chestnut based on input from WOEIP and with help from the California Highway Patrol to identify a safe location to set up the device. Across the two deployments, CARB screened a total of 691 heavy-duty diesel trucks, identified 7 potential high emitters, pulled over 60 trucks for further inspection, and issued 5 citations.CARB deployed the Portable Emissions Acquisition System (PEAQS) emissions screening device in West Oakland in late August and October of 2022. Both deployments were located at 3rd and Chestnut based on input from WOEIP and with help from the California Highway Patrol to identify a safe location to set up the device. Across the two deployments, CARB screened a total of 691 heavy-duty diesel trucks, identified 7 potential high emitters, pulled over 60 trucks for further inspection, and issued 5 citations.</t>
  </si>
  <si>
    <t>The California Air Resources Board develops improvements to the existing truck and bus
inspection and maintenance programs. Potential improvements include increasing warranty
requirements, adding a lower in-use emissions performance level, increasing inspections in West
Oakland, using aggregated GPS and other telecommunication records to identify locations of
idling trucks and buses, and partnering with the Air District to develop a system using on-board
diagnostic and remote sensing devices to identify and fix faulty emissions abatement devices on
trucks and buses.</t>
  </si>
  <si>
    <t>Truck and Bus Inspection</t>
  </si>
  <si>
    <t>WOCAP, CARB database</t>
  </si>
  <si>
    <t>Outreach and Education on Idling</t>
  </si>
  <si>
    <t xml:space="preserve">The City of Oakland adopts more stringent air quality construction and operations requirements. </t>
  </si>
  <si>
    <t>Construction</t>
  </si>
  <si>
    <t>The City of Oakland amends existing City Ordinances and Administrative policies to list new truck yards and truck service, repair and fueling businesses as prohibited uses within the area of West Oakland that is inside the freeways (excluding the Port, OAB, and 3rd St. corridor of Jack London Square from Brush St. to Union St.).</t>
  </si>
  <si>
    <t>Truck Industry</t>
  </si>
  <si>
    <t>Boundary Limits</t>
  </si>
  <si>
    <t>The City of Oakland and other appropriate local agencies limit fugitive dust from construction activity through better enforcement of existing regulations and permit requirements.</t>
  </si>
  <si>
    <t>Fugitive Dust</t>
  </si>
  <si>
    <t xml:space="preserve">The California Air Resources Board develops amendments to the At-Berth Air Toxics Control Measure to further reduce ship emissions at berth by strengthening the regulation to cover more vessel visits and types of ships. (#60) </t>
  </si>
  <si>
    <t xml:space="preserve">The California Air Resources Board develops amendments to the At-Berth Air Toxics Control
Measure to further reduce ship emissions at berth by strengthening the regulation to cover more
vessel visits and types of ships. (#60) </t>
  </si>
  <si>
    <t>Rules and Regulations</t>
  </si>
  <si>
    <t>Ports</t>
  </si>
  <si>
    <t xml:space="preserve">The City of Oakland and Port of Oakland amends existing Ordinances, Resolutions, or Administrative policies to accelerate relocation of truck yards and truck repair, service, and fueling businesses in West Oakland currently located within the freeway boundaries that do not conform with the zoning designations adopted in the West Oakland Specific Plan. </t>
  </si>
  <si>
    <t>Relocations</t>
  </si>
  <si>
    <t>The City of Oakland develops a plan to limit the hours that trucks can operate in the community.</t>
  </si>
  <si>
    <t>Operating Hour Limits</t>
  </si>
  <si>
    <t>Air Filtration in Schools and Other Community Spaces</t>
  </si>
  <si>
    <t>School Districts, "Community Centers (libraries, senior centers +)", Air District</t>
  </si>
  <si>
    <t>AB 836 Clean Air Centers - 23 filters for community facilities
SEP Program - 3 filters for schools
No update from Bay Area Air District as of 9/2025</t>
  </si>
  <si>
    <t>AB 836 Clean Air Centers, SEP Program</t>
  </si>
  <si>
    <t>The City of Oakland revises business licensing procedures to require current and proposed businesses to disclose truck visits per day and works with Caltrans to determine the number of trucks that park in the Caltrans right-of-way near West Oakland. Caltrans works with WOEIP and the Air District to address air quality issues from truck parking leases, such as by modifying leases</t>
  </si>
  <si>
    <t>Business Licensing</t>
  </si>
  <si>
    <t>Truck Counts</t>
  </si>
  <si>
    <t>City, Local Utilities &amp; Transportation</t>
  </si>
  <si>
    <t>The City of Oakland revises development requirements to require the implementation of as many transportation demand management (TDM) strategies as feasible by developers of new buildings.</t>
  </si>
  <si>
    <t>Transportation Demand Management</t>
  </si>
  <si>
    <t>Consistent with the Healthy Development Guidelines, the City of Oakland implements a project-wide smoking ban in Oakland at new developments.</t>
  </si>
  <si>
    <t>Smoking ban</t>
  </si>
  <si>
    <t>City Infrastructure Updates</t>
  </si>
  <si>
    <t>Street Sweeping</t>
  </si>
  <si>
    <t>City, Air District</t>
  </si>
  <si>
    <t>Labeled as "Other Infrastructure" in CAP Incentives
Executed 
OakDOT already sweeps more often in West Oakland (thurs/fri every week) and East Oakland than other parts of the City. Tension between frequent sweeping and parking citations; perception that City is extracting revenue from low-income residents. Sweeping staff would need to know more about specific issues</t>
  </si>
  <si>
    <t>CAP Incentives
WOCAP Tracker</t>
  </si>
  <si>
    <t>Collaboration to Reroute Trucks</t>
  </si>
  <si>
    <t>Truck Study &amp; Rerouting</t>
  </si>
  <si>
    <t>Congestion</t>
  </si>
  <si>
    <t>Industry - Port, School Districts</t>
  </si>
  <si>
    <t>The City of Oakland studies revising standard conditions of approval and/or similar requirements for large projects to require "opt-up" to East Bay Community Energy’s Brilliant 100 carbon-free electricity supply.</t>
  </si>
  <si>
    <t>No longer a strategy</t>
  </si>
  <si>
    <t>Clean Electricity Study</t>
  </si>
  <si>
    <t>CARB conducts a technology assessment of commercial cooking rules and control strategies and proposes incentives and/or a Suggested Control Measure for commercial cooking. The Air District offers incentives and/or proposes a regulation to reduce emissions from commercial cooking.</t>
  </si>
  <si>
    <t>Commercial Cooking</t>
  </si>
  <si>
    <t>The California Air Resources Board develops a handbook that identifies best practices for the siting, design, construction, and operation of freight facilities to minimize community exposure to air pollution.</t>
  </si>
  <si>
    <t>Freight Facilities</t>
  </si>
  <si>
    <t>The California Air Resources Board develops amendments to the Commercial Harbor Craft Air Toxics Control Measure to achieve additional control of harbor craft emissions. The Steering Committee, WOEIP, and the Air District advocate for early compliance of harbor craft operating near West Oakland.</t>
  </si>
  <si>
    <t>Marine Vessels</t>
  </si>
  <si>
    <t>The California Air Resources Board develops amendments to the existing cargo handling equipment regulation, which includes yard trucks, rubber-tired gantry cranes, and top handlers, that may reduce idling and transition the various types of equipment to zero-emission operation.</t>
  </si>
  <si>
    <t>CHE</t>
  </si>
  <si>
    <t>The City of Oakland implements the broad array of bicycle and pedestrian improvements identified in the West Oakland Specific Plan, the 2019 Oakland Bike Plan, and the 2017 Oakland Walks Pedestrian Plan.</t>
  </si>
  <si>
    <t>Accessibility</t>
  </si>
  <si>
    <t>Bike and Pedestrian</t>
  </si>
  <si>
    <t>The City and Port of Oakland will work to establish permanent locations for parking and staging of Port related trucks and cargo equipment, i.e. tractors, chassis, and containers. Such facilities will provide long-term leases to parking operators and truck owner-operators at competitive rates. Such facilities will be at the City or Port logistics center or otherwise not adjacent to West Oakland residents.</t>
  </si>
  <si>
    <t>Parking</t>
  </si>
  <si>
    <t>City, Industry - Port</t>
  </si>
  <si>
    <t>The Bay Area Rapid Transit District will develop a bike station with controlled access at the West Oakland BART Station.</t>
  </si>
  <si>
    <t>Bikes</t>
  </si>
  <si>
    <t>Local Utilities &amp; Transportation</t>
  </si>
  <si>
    <t>The California Air Resources Board develops amendments to the transport refrigeration unit (TRU)
regulation to transition the TRU fleet to zero-emission operations by requiring both zero-emission
technology and supporting infrastructure.</t>
  </si>
  <si>
    <t>Transport Refridgeration Units</t>
  </si>
  <si>
    <t xml:space="preserve">The Air District will study the potential air pollution and health outcomes of allowing truck traffic on I-580 and designating a truck lane on I-880. Allowing truck traffic on I-580 would require legislative approval, re-engineering, and re-construction. </t>
  </si>
  <si>
    <t>Health Study</t>
  </si>
  <si>
    <t>New Truck Lane</t>
  </si>
  <si>
    <t xml:space="preserve">The City of Oakland continues working with California Waste Solutions and CASS, Inc. to relocate operations to the former Oakland Army Base and works with the property owners and local residents to redevelop the former sites in West Oakland with new business and light industrial uses that fit into a green economy. </t>
  </si>
  <si>
    <t xml:space="preserve">Collaboration with Businesses </t>
  </si>
  <si>
    <t>California Waste Solutions and CASS</t>
  </si>
  <si>
    <t>City, Industry</t>
  </si>
  <si>
    <t>The City of Oakland works with local businesses, partner agencies, and community members to develop a Green Business Strategic Plan to attract, retain, and support innovative green companies in West Oakland. This effort includes coordination with State and local agencies to develop criteria for green business certification for new and existing businesses.</t>
  </si>
  <si>
    <t>The City of Oakland works with local businesses, partner agencies, and community members to
develop a Green Business Strategic Plan to attract, retain, and support innovative green
companies in West Oakland. This effort includes coordination with State and local agencies to
develop criteria for green business certification for new and existing businesses.</t>
  </si>
  <si>
    <t>Green Business Strategic Plans</t>
  </si>
  <si>
    <t>Car Sharing</t>
  </si>
  <si>
    <t>The City of Oakland will explore Electric Vehicle (EV) Car Share as part of the Zero Emission Vehicle Action Plan. Oak dot is in preliminary conversations with car sharing providers. The lack of public EV Charging in West Oakland is a major barrier to establishing an EV program. OakDOT completed a survey on free-floating car share; see https://www.oaklandca.gov/documents/an evaluation-of-free-floating-carsharing-in-Oakland for results.
The Zero Emissions Vehicle Action plan was published in January 2023. (updated 2023)
No update (Q1 2024)</t>
  </si>
  <si>
    <t>The Alameda County Transportation Commission works with West Oakland residents and businesses to develop mitigations to short- and long-term impacts caused by the construction of the 7th St Grade Separation East Project and the implementation of other elements of the GoPort Initiative.</t>
  </si>
  <si>
    <t>The Alameda County Transportation Commission works with West Oakland residents and
businesses to develop mitigations to short- and long-term impacts caused by the construction of
the 7th St Grade Separation East Project and the implementation of other elements of the GoPort
Initiative.</t>
  </si>
  <si>
    <t>Project Impact Mitigations</t>
  </si>
  <si>
    <t>Local Utilities &amp; Transportation, Industry - Small Businesses</t>
  </si>
  <si>
    <t>Partnership</t>
  </si>
  <si>
    <t>Housing</t>
  </si>
  <si>
    <t>Public Health Agency</t>
  </si>
  <si>
    <t xml:space="preserve">
The Subcommittee heard a presentation from ACPHD on the Asthma Start and other asthma related programs and provided the group information on the County's COVID response. The Air District initiated discussions with ACPHD and BayRen on how to leverage each other's programs working at the nexus of public health, energy efficiency, home weatherization, and air quality. These partners applied and received a $2 million dollar grant through the California Attorney General's office Automobile Emissions Research and Technology Fund (see Strategy #75). </t>
  </si>
  <si>
    <t>The California Office of Environmental Health Hazard Assessment, in partnership with the Steering Committee, the City of Oakland, CARB, and the Air District, studies setting a limit on West Oakland's cumulative exposure to TACs.</t>
  </si>
  <si>
    <t>The California Office of Environmental Health Hazard Assessment, in partnership with the Steering
Committee, the City of Oakland, CARB, and the Air District, studies setting a limit on West
Oakland's cumulative exposure to TACs.</t>
  </si>
  <si>
    <t>Air Quality Study</t>
  </si>
  <si>
    <t>City, Air District, Public Health Agency</t>
  </si>
  <si>
    <t xml:space="preserve">The Alameda County Public Health Department expands its Asthma Management programs. </t>
  </si>
  <si>
    <t>Asthma Management Programs</t>
  </si>
  <si>
    <t>Youth</t>
  </si>
  <si>
    <t>Health Programs</t>
  </si>
  <si>
    <t>City, Public Health Agency</t>
  </si>
  <si>
    <t>Transport Refrigeration Units (TRUs)</t>
  </si>
  <si>
    <t>Vegetative Barrier Study</t>
  </si>
  <si>
    <t>City, CalTrans</t>
  </si>
  <si>
    <t>1) Strategy 10, 12, 16
2) Separate freeways
3) Fall 2023 - under contract
Adopted the Oakland Urban Forest Plan</t>
  </si>
  <si>
    <t>The City of Oakland works with community partners to implement the Healthy Development Guidelines for new building projects.</t>
  </si>
  <si>
    <t>The City of Oakland works with community partners to implement the Healthy Development
Guidelines for new building projects.</t>
  </si>
  <si>
    <t xml:space="preserve">Community Partners </t>
  </si>
  <si>
    <t>The City of Oakland works with local and agency partners to implement regional and local adoption of the State Department of Public Health's Health In All Policies program.</t>
  </si>
  <si>
    <t>The City of Oakland works with local and agency partners to implement regional and local
adoption of the State Department of Public Health's Health In All Policies program.</t>
  </si>
  <si>
    <t>Health</t>
  </si>
  <si>
    <t>To address potential changes in local pollution exposure, the City of Oakland works with local community groups to address gentrification and the pricing out of long-term residents caused by gentrification. This effort includes meetings with local community groups and incentives and loans targeted to existing businesses and residents. Funding for this effort is identified as needed.</t>
  </si>
  <si>
    <t>To address potential changes in local pollution exposure, the City of Oakland works with local
community groups to address gentrification and the pricing out of long-term residents caused by
gentrification. This effort includes meetings with local community groups and incentives and loans
targeted to existing businesses and residents. Funding for this effort is identified as needed.</t>
  </si>
  <si>
    <t>Gentrification</t>
  </si>
  <si>
    <t>The Alameda CTC and Caltrans will continually engage with the community, at a minimum through participation in quarterly meetings of the WOCAP implementation committee, on early project planning and delivery for projects in West Oakland where Alameda CTC and/or Caltrans is the project sponsor in order to ensure projects do not increase transportation impacts on
residents. These projects will undergo appropriate reviews to assess the environmental and health impacts, and potential local benefits, and adopt associated mitigation measures so they do
not result in a net increase in air pollution or health inequities for residents most impacted by the county’s freight transportation system in West Oakland.</t>
  </si>
  <si>
    <t>The Alameda CTC and Caltrans will continually engage with the community, at a minimum
through participation in quarterly meetings of the WOCAP implementation committee, on early
project planning and delivery for projects in West Oakland where Alameda CTC and/or Caltrans is
the project sponsor in order to ensure projects do not increase transportation impacts on
residents. These projects will undergo appropriate reviews to assess the environmental and
health impacts, and potential local benefits, and adopt associated mitigation measures so they do
not result in a net increase in air pollution or health inequities for residents most impacted by the
county’s freight transportation system in West Oakland.</t>
  </si>
  <si>
    <t xml:space="preserve">Caltrans </t>
  </si>
  <si>
    <t>CalTrans, Local Utilities &amp; Transportation</t>
  </si>
  <si>
    <t>The Air District will work with CARB, EBMUD, and other agency and community partners to identify strategies and incentives to address community concerns about odors, health-related emissions, and disclosing to the community information about complaints and complaint resolutions from the EBMUD facility in the Owning Our Air plan area.</t>
  </si>
  <si>
    <t>The Air District will work with CARB, EBMUD, and other agency and community partners to
identify strategies and incentives to address community concerns about odors, health-related
emissions, and disclosing to the community information about complaints and complaint
resolutions from the EBMUD facility in the Owning Our Air plan area.</t>
  </si>
  <si>
    <t>EBMUD</t>
  </si>
  <si>
    <t>CARB, Local Utilities &amp; Transportation, Air District</t>
  </si>
  <si>
    <t>Heavy-Duty Diesel Vehicles</t>
  </si>
  <si>
    <t>Truck Idling</t>
  </si>
  <si>
    <t>1) Truck Route Signage: The West Oakland STEP grant, which will include improvement of truck route signage, was executed in February of 2023. Due to the delay to changes in the truck route network, the STEP grant will focus on updating / adding / removing signs on existing truck routes and truck prohibited streets. This work will be planned in 2024, with construction expected in 2025.  (2023 update)
1) In 2025, OakDOT will be refreshing signage for existing truck routes and truck prohibited streets; 2) I'm not familiar with this action, and I'm not aware of an effort to implement it; 3) Proposed changes to the truck route network were not approved by Council when brought by OakDOT staff in 2022. The effort is currently on hold. (Q1 2024)</t>
  </si>
  <si>
    <t>Locomotives</t>
  </si>
  <si>
    <t>Passenger</t>
  </si>
  <si>
    <t>Air District, Industry</t>
  </si>
  <si>
    <t>Switcher</t>
  </si>
  <si>
    <t>Tug Boats</t>
  </si>
  <si>
    <t>Air District, Industry - Port</t>
  </si>
  <si>
    <t>The City of Oakland works with agency and community partners to undertake participatory budgeting with West Oakland community members to allocate local health improvement grants that reduce emissions or exposure to emissions.</t>
  </si>
  <si>
    <t>The City of Oakland works with agency and community partners to undertake participatory
budgeting with West Oakland community members to allocate local health improvement grants
that reduce emissions or exposure to emissions.</t>
  </si>
  <si>
    <t>Particiapatory Bugeting</t>
  </si>
  <si>
    <t>Off-Road Diesel Equipment</t>
  </si>
  <si>
    <t xml:space="preserve">electric lawn and garden equipment, Transport Refrigeration Units, and cargo-handling equipment
</t>
  </si>
  <si>
    <t xml:space="preserve">Consistent with measures in the West Oakland Specific Plan, the City of Oakland identifies locations outside of West Oakland for heavier industrial businesses currently in West Oakland that contribute to air pollution emissions and negative health outcomes in West Oakland. </t>
  </si>
  <si>
    <t>Surrounding Area of West Oakland</t>
  </si>
  <si>
    <t>Arvin, Lamont</t>
  </si>
  <si>
    <t>arvin_lamont</t>
  </si>
  <si>
    <t>sjvapcd</t>
  </si>
  <si>
    <t>Incentives for Electrification Infrastructure</t>
  </si>
  <si>
    <t>Alternative Fueling Station</t>
  </si>
  <si>
    <t>Included Valley Wide Funding</t>
  </si>
  <si>
    <t>CAP Incentives, not in CERP Tracker</t>
  </si>
  <si>
    <t>Calexico, El Centro, Heber</t>
  </si>
  <si>
    <t>calexico_el_centro_and_heber</t>
  </si>
  <si>
    <t>icapcd</t>
  </si>
  <si>
    <t>N/A</t>
  </si>
  <si>
    <t>Electric Charging Infrastructure</t>
  </si>
  <si>
    <t>General</t>
  </si>
  <si>
    <t>Executed - $6183875.28	#5
Liquidated - $32487	#1</t>
  </si>
  <si>
    <t xml:space="preserve">CAP Incentives </t>
  </si>
  <si>
    <t>East Los Angeles, Boyle Heights, West Carson</t>
  </si>
  <si>
    <t>east_los_angeles_boyle_heights_west_commerce</t>
  </si>
  <si>
    <t>scaqmd</t>
  </si>
  <si>
    <t>Work with local utilities and state agencies to encourage the installation of infrastructure needed to fuel/charge zero emission vehicles and equipment at the railyards</t>
  </si>
  <si>
    <t>Compressed Natural Gas</t>
  </si>
  <si>
    <t>Air District, Local Utilities &amp; Transportation</t>
  </si>
  <si>
    <t>CERP Dashboard Tracker "Work with local utilities and state agencies to encourage the installation of infrastructure needed to fuel/charge zero emission vehicles and equipment at the railyards"</t>
  </si>
  <si>
    <t>San Diego Portside Environmental Justice Neighborhoods</t>
  </si>
  <si>
    <t>portside_environmental_justice_neighborhoods</t>
  </si>
  <si>
    <t>sdapcd</t>
  </si>
  <si>
    <t>Port</t>
  </si>
  <si>
    <t>Additional funding from the Port of San Diego</t>
  </si>
  <si>
    <t>2024 Annual Report
AD Data
CAP Incentives</t>
  </si>
  <si>
    <t xml:space="preserve">Port of San Diego </t>
  </si>
  <si>
    <t>Navy offering shuttle program
In partnership with the California Energy Commission (CEC), Naval Base San Diego (NBSD) installed 14 dual-use EV chargers to support the Navy Electric Vehicle Pilot Program. These chargers support charging of private and government owned vehicles.
Concurrently, NBSD is installing over 350 more level 2 and 3 chargers. NBSD has a financial and environmentally driven commitment to reducing vehicle emissions; these chargers will be available for use by all electric vehicles and have the potential to reduce CO2 emissions by 1,600 metric tons per year.</t>
  </si>
  <si>
    <t>2024 Annual Report</t>
  </si>
  <si>
    <t>Passenger Vehicles</t>
  </si>
  <si>
    <t>2. Community Members</t>
  </si>
  <si>
    <t>100-130 cars/year as previously reported in the WOCAP Tracker
BAAD - Vehicle Buy Back Program, Clean Cars for All Program</t>
  </si>
  <si>
    <t>CERP, CERP Tracker, BAAD</t>
  </si>
  <si>
    <t>The City of Oakland works with local groups to train residents to maintain biofilters.</t>
  </si>
  <si>
    <t>Training Residents</t>
  </si>
  <si>
    <t xml:space="preserve">Biofilters </t>
  </si>
  <si>
    <t>The Air District works with agency and local partners to improve referral and follow-up on
nuisance and odor complaints by 2021. This work includes updates to complaint processes,
enforcement procedures, and coordination with other public agencies regarding odors, backyard
burning, and other complaints.</t>
  </si>
  <si>
    <t>Odor</t>
  </si>
  <si>
    <t>The Air District works with the City and Port of Oakland and other agency and local partners to
create a Sustainable Freight Advisory Committee to provide recommendations to each agency’s
governing board or council. The Committee’s scope includes: air quality issues,
enhanced/increased enforcement of truck parking and idling, improved referral and follow-up to
nuisance and odor complaints related to goods movement, improvements to the Port
appointment system, charging infrastructure and rates, developing land-use restrictions in
industrial areas, funding, and consideration of video surveillance to enforce truck parking, route,
and idling restrictions.</t>
  </si>
  <si>
    <t>Air District, City, Industry - Port</t>
  </si>
  <si>
    <t>The California Air Resources Board develops new standards for small off-road engines (SORE), which are spark-ignition engines rated at or below 19 kilowatts and used primarily for lawn, garden, and other outdoor power equipment.</t>
  </si>
  <si>
    <t>SORE</t>
  </si>
  <si>
    <t>The California Air Resources Board develops regulations to expand California-specific standards for new light-duty vehicles, impacting 2026 and later model year vehicles, to increase the number of new zero-emission and plug-in hybrid electric vehicles sold in California and increase the stringency of fleet-wide emission standards for greenhouse gases and criteria pollutants.</t>
  </si>
  <si>
    <t>Light Duty Vehicles</t>
  </si>
  <si>
    <t>The California Air Resources Board develops regulations to reduce idling emissions from locomotives at rail yards with an emphasis on reducing emissions from locomotives not pre-empted under the federal Clean Air Act. The Steering Committee, WOEIP, and the Air District advocate for early compliance for locomotives operating in West Oakland.</t>
  </si>
  <si>
    <t>Railyards</t>
  </si>
  <si>
    <t>Not in CERP</t>
  </si>
  <si>
    <t xml:space="preserve">Crew and Supply Ships </t>
  </si>
  <si>
    <t xml:space="preserve"> The Air District intends to provide incentives to replace existing diesel stationary and standby
engines (fire pumps, dryers, conveyor belts, cranes) with Tier 4 diesel or cleaner engines. Priority
is given to upgrading Tier 0, 1 &amp; 2 engines located closest to schools, senior citizen centers,
childcare facilities, and hospitals.</t>
  </si>
  <si>
    <t>fire pumps, dryers, conveyor belts, cranes</t>
  </si>
  <si>
    <t>for cargo cranes and forklifts</t>
  </si>
  <si>
    <t>CAP Incentives</t>
  </si>
  <si>
    <t>The Air District provides subsidized loans for local small businesses to install energy storage systems (e.g. batteries, fuel cells) to replace stationary sources of pollution (e.g. back-up generators).</t>
  </si>
  <si>
    <t>Incentives for Stationary Source Equipment Replacement</t>
  </si>
  <si>
    <t>Battery Storage</t>
  </si>
  <si>
    <t>Air District, Industry - Small Businesses</t>
  </si>
  <si>
    <t>Heavy Duty Diesel Trucks</t>
  </si>
  <si>
    <t>The Port of Oakland adopts an Electrical Infrastructure Plan for the maritime waterfront areas of Oakland. This Plan seeks to remove barriers to adoption of zero-emission trucks, such as cost, land, and ownership of charging equipment.</t>
  </si>
  <si>
    <t>Misc Transportation Strategies</t>
  </si>
  <si>
    <t>Electrical Infrastructure Plan</t>
  </si>
  <si>
    <t>Ease Financial Burden</t>
  </si>
  <si>
    <t>Industry - Port</t>
  </si>
  <si>
    <t>The City and Port of Oakland award long-term leases to vendors that will deliver trucker services
(including mini-market and convenience stores, fast food, and fast casual restaurants), and
parking to keep trucks off West Oakland streets.</t>
  </si>
  <si>
    <t>Parking Allocation</t>
  </si>
  <si>
    <t>The City of Oakland collaborates with AC Transit, BART, Emery-Go-Round, and the local community to implement the broad array of transit improvements identified in the West Oakland Specific Plan.</t>
  </si>
  <si>
    <t>Public Transit Opportunities</t>
  </si>
  <si>
    <t>Through the Pilot Trip Reduction Program, the Air District offers incentives for the purchase of electric bicycles for bike share programs.</t>
  </si>
  <si>
    <t>Electric Bike Sharing</t>
  </si>
  <si>
    <t xml:space="preserve">Feasibility Study </t>
  </si>
  <si>
    <t>Locomotive Feasibility</t>
  </si>
  <si>
    <t>The Air District works with Schnitzer Steel to study the feasibility of installing a shore-power or bonnet system to capture and abate vessel emissions at the West Oakland facility by 2021.</t>
  </si>
  <si>
    <t>Shore Power, Bonnet</t>
  </si>
  <si>
    <t xml:space="preserve">The Air District will analyze road dust emission rates for local streets. </t>
  </si>
  <si>
    <t>Air Monitoring</t>
  </si>
  <si>
    <t>Dust on Local Roads</t>
  </si>
  <si>
    <t>Signs</t>
  </si>
  <si>
    <t>Parking Regulations</t>
  </si>
  <si>
    <t>At its April 19, 2022, hearing Oakland City Council adopted new truck parking regulations for West Oakland consistent with the TMP. On August 27, 2022, the City hosted a community meeting to roll out the truck parking regulations including reviewing enforcement protocols. As of Sept. 2022, new truck parking signage has been installed and parking technicians have been trained on the new truck parking regulations. On July 5, 2022, City Council accepted the Sustainable Transportation Equity Project (STEP) grant from the California Air Resources Board. This grant funds work to implement components of the Truck Management Plan, including truck route signage plan and installation, engagement and outreach, and truck and trailer parking enforcement training. OakDOT will use the grant funds to purchase a vehicle license reader (in fall 2022 or winter 2022) to support enforcement efforts.
No update (Q1 2024)</t>
  </si>
  <si>
    <t>The City of Oakland conducts a study regarding development fees for environmental mitigations.</t>
  </si>
  <si>
    <t xml:space="preserve">Effectiveness Study </t>
  </si>
  <si>
    <t>Environmental Fees</t>
  </si>
  <si>
    <t>Vegetative Barriers</t>
  </si>
  <si>
    <t>The Air District researches actions that are potentially exposure-reducing, such as: 1) an engineering evaluation of exhaust stacks and/or vents to determine if relocation will reduce local exposure; (2) a study to determine if smart air filtration systems can reduce exposure by in-taking air during daily non-peak vehicle travel times, such as between midnight and four a.m.; and (3) a study of the potential air quality benefits of a centralized package delivery site such as personal lockers by 2025.</t>
  </si>
  <si>
    <t>Exposure Reduction</t>
  </si>
  <si>
    <t xml:space="preserve">The Air District will continue to engage in environmental review processes for development projects in West Oakland, such as the Oakland A’s Ballpark and the MacArthur Maze Vertical Clearance Project, including coordinating with community partners and lead agency staff, providing data and technical assistance, and reviewing and commenting on CEQA documents through 2025. </t>
  </si>
  <si>
    <t>Environmental Review Process</t>
  </si>
  <si>
    <t>The Air District intends to seek authority in 2021 to reduce emissions and risk from magnet sources, such as the Port of Oakland, freight operations and warehouse distribution centers.</t>
  </si>
  <si>
    <t>Manage Industrial Sources</t>
  </si>
  <si>
    <t xml:space="preserve">The City of Oakland uses incentives and subsidies to relocate businesses away from West Oakland that do not conform with the zoning designations adopted in the West Oakland Specific Plan. The Air District will provide emissions data and technical support to assist the City in these efforts and to ensure that any relocated businesses do not cause exposure issues at the new location. </t>
  </si>
  <si>
    <t>Relocate Businesses</t>
  </si>
  <si>
    <t>The Air District will investigate local impacts of backyard wood fires and strategies to
minimize these impacts.</t>
  </si>
  <si>
    <t>Outreach and Education on Burning</t>
  </si>
  <si>
    <t>Study on Wood Burning Impacts</t>
  </si>
  <si>
    <t>The California Air Resources Board, in partnership with the Steering Committee, WOEIP and the Air District, conduct a pilot study to assess local idling impacts from trucks and buses. The Steering Committee, WOEIP and the Air District advocate for “Clean Idle” trucks and buses to idle no more than 5 minutes when in West Oakland.</t>
  </si>
  <si>
    <t>The California Air Resources Board, in partnership with the Steering Committee, WOEIP and the
Air District, conduct a pilot study to assess local idling impacts from trucks and buses. The Steering
Committee, WOEIP and the Air District advocate for “Clean Idle” trucks and buses to idle no more
than 5 minutes when in West Oakland.</t>
  </si>
  <si>
    <t>Idling Study</t>
  </si>
  <si>
    <t>Air District, CARB</t>
  </si>
  <si>
    <t>AC Transit implements the Grand Avenue transit improvements identified in its Bus Rapid Transit Plan, as well as mitigations if the improvements cause increases in truck and auto idling on Grand Avenue.</t>
  </si>
  <si>
    <t>Transit Improvements</t>
  </si>
  <si>
    <t>The City of Oakland, consistent with the West Oakland Truck Management Plan, implements, in consultation with West Oakland residents, traffic calming measures to keep truck traffic off residential streets.</t>
  </si>
  <si>
    <t>Residents</t>
  </si>
  <si>
    <t>The Air District works with the Port of Oakland to optimize the Port appointment system to minimize truck idling.</t>
  </si>
  <si>
    <t>Port of Oakland</t>
  </si>
  <si>
    <t>The Oakland Unified School District and the City of Oakland, as part of the Safe Routes to Schools Program in West Oakland, begin twice a day street closures next to public schools in West Oakland to keep cars and trucks away from arriving and departing students.</t>
  </si>
  <si>
    <t>Street Closure</t>
  </si>
  <si>
    <t>The Port of Oakland implements a Clean Ship Program to increase the frequency of visits by ships with International Maritime Organization Tier 2 and Tier 3 engines.</t>
  </si>
  <si>
    <t>Clean Ship Visits</t>
  </si>
  <si>
    <t>The Port of Oakland implements a Clean Locomotive Program to increase the number of U.S. EPA Tier 4 compliant locomotives used by the UP, BNSF, and OGRE railways to provide service in and out of the Port of Oakland.</t>
  </si>
  <si>
    <t>Clean Locomotive Visits</t>
  </si>
  <si>
    <t>The Air District advocates for a plan that East Bay Clean Energy and PG&amp;E are spearheading to replace the Dynegy Power Plant with a cleaner and more reliable source of energy by 2022. The proposed location for this initiative is the Oakland C, Oakland L, Maritime Port of Oakland, and Schnitzer Steel substation pocket, which is located within PG&amp;E’s Oakland distribution planning area. Eligible resource types include: (1) in-front-of-the-meter renewable generation; (2) in-front-of-the-meter energy storage, and (3) behind-the-meter energy storage. EBCE is seeking to procure the energy, resource adequacy (RA), and renewable energy credits (RECs) associated with these local resources, while PG&amp;E will focus on meeting Oakland’s transmission reliability needs.</t>
  </si>
  <si>
    <t>Advocacy</t>
  </si>
  <si>
    <t>Clean Energy Accessibility</t>
  </si>
  <si>
    <t>The Air District and the West Oakland Environmental Indicators Project intends to implement the green infrastructure project currently under development between Interstate I-880 and the Prescott neighborhood in West Oakland by 2021.</t>
  </si>
  <si>
    <t>Urban Greening and Vegetative Barriers</t>
  </si>
  <si>
    <t>Urban Greening</t>
  </si>
  <si>
    <t>CalTrans, Air District, City</t>
  </si>
  <si>
    <t xml:space="preserve">Not included in BAAD September 2025 Udpdate </t>
  </si>
  <si>
    <t>The Air District proposes amendments to existing Regulation 8-5 to further reduce emissions of reactive organic gases and other toxic compounds from organic liquid storage tanks by 2020. Organic liquid storage tanks are defined in Regulation 8-5.</t>
  </si>
  <si>
    <t>Regulation 8-5</t>
  </si>
  <si>
    <t>Organic gases</t>
  </si>
  <si>
    <t>The Air District proposes amendments to existing regulations to further reduce emissions from metal recycling and foundry operations, such as changes to: 1) Rule 6-4: Metal Recycling and Shredding Operations, which requires metal recycling and shredding facilities to minimize fugitive PM emissions through the development and implementation of facility Emission Minimization Plans; and 2) Rule 12-13: Foundry and Forging Operations, which requires metal foundries and forges to minimize fugitive emissions of PM and odorous substances through the development and implementation of facility Emission Minimization Plans by 2025.</t>
  </si>
  <si>
    <t>Metal Recycling</t>
  </si>
  <si>
    <t>The Air District proposes new regulations to reduce emission sources from autobody and other coating operations, including the use of vanishing oils and rust inhibitors by 2025.</t>
  </si>
  <si>
    <t>Autobody</t>
  </si>
  <si>
    <t>The Air District proposes new regulations to reduce emissions from wastewater treatment plants and anaerobic digestion facilities, such as a regulation to reduce emissions of methane, reactive organic gases, and oxides of nitrogen by 2020.</t>
  </si>
  <si>
    <t>Wastewater Treatment Plants</t>
  </si>
  <si>
    <t xml:space="preserve">The Air District will investigate potential rulemaking to limit fugitive dust from construction activity. </t>
  </si>
  <si>
    <t xml:space="preserve">The Air District will investigate the feasibility of amending Regulation 5 (Open Burning)
and/or Reg. 6-3 (Wood Burning Devices) to prohibit recreational fires </t>
  </si>
  <si>
    <t>Regulation 5, 6-3</t>
  </si>
  <si>
    <t>Residential Wood Burning</t>
  </si>
  <si>
    <t>The Air District’s Rule 11-18: Reduce Risk from TACS at Existing Facilities requires selected Bay Area facilities to reduce risk or install best available retrofit control technology for toxics on all significant sources of toxic emissions. Based on the results of the facility-specific health risk assessment, the Air District may require Schnitzer Steel and the East Bay Municipal Utility District to adopt a Risk Reduction Plan if the health risk exceeds a risk action level per the requirements of Rule 11-18 implementation.</t>
  </si>
  <si>
    <t>BARCT</t>
  </si>
  <si>
    <t xml:space="preserve">Reported 12 schools in the CERP, but 30 schools noted in the 2024 Annual Report
Add filters in schools in the Corridor </t>
  </si>
  <si>
    <t>CERP</t>
  </si>
  <si>
    <t>Paving</t>
  </si>
  <si>
    <t>Parking Lot</t>
  </si>
  <si>
    <t>Executed - $4893161.59	#1
Liquidated - $769725.15	#3</t>
  </si>
  <si>
    <t>1. The number and date of meetings held with local transportation agencies and other bodies to discuss the feasibility of implementing measures that reduce the impact of activities at the border.
 2. A description of the measures considered, along with a discussion of feasibility, proposed next steps, and metrics to track in the coming year.</t>
  </si>
  <si>
    <t>Feasibility Research</t>
  </si>
  <si>
    <t>City, CalTrans, County, Air District, School Districts</t>
  </si>
  <si>
    <t>2032 Data Collection</t>
  </si>
  <si>
    <t>District is proposing to increase community outreach through the publication of a quarterly newsletter to include information on enforcement statistics and rule changes.</t>
  </si>
  <si>
    <t>Air Quality Education</t>
  </si>
  <si>
    <t>Enforcement and Rule Updates</t>
  </si>
  <si>
    <t>2028 Data Collection</t>
  </si>
  <si>
    <t>District to track and review local general plan updates on a quarterly basis and issue comment letter when local action has the potential to affect air quality or exposure in the Corridor. 1. The number of general plan updates considered and commented on by the Steering Committee. 2. A description of any responses/actions by local agencies (in response to the comment letter(s) received).</t>
  </si>
  <si>
    <t>1. The number of general plan updates considered and commented on by the Steering Committee.
 2. A description of any responses/actions by local agencies (in
 response to the comment letter(s) received).</t>
  </si>
  <si>
    <t>Comment Letter</t>
  </si>
  <si>
    <t>2030 Data Collection</t>
  </si>
  <si>
    <t>District to facilitate the complaint process in order to increase public access to filing complaints and more accurately capture complaint information.</t>
  </si>
  <si>
    <t>On August 31, 2020 the ICAPCD made the required website improvements. It has added a feature to allow the public to file a complaint online. It has also published the complaint line number as well as a direct link to the complaint page.</t>
  </si>
  <si>
    <t>2021 Data Collection</t>
  </si>
  <si>
    <t>District and CARB are proposing to form a dedicated enforcement outreach team made up of staff from the agencies to actively engage with the CSC and respond to community concerns.</t>
  </si>
  <si>
    <t>2029 Data Collection</t>
  </si>
  <si>
    <t>District to assess the feasibility of implementing emission reduction measures in the open areas and/or desert areas west of the Corridor. 1. The number and date of meetings held with stakeholders to discuss the feasibility of implementing measures that reduce emissions in the open areas/desert areas west of the Corridor. 2. A description of the measures considered, along with a discussion of feasibility, proposed next steps, and metrics to track in the coming year.</t>
  </si>
  <si>
    <t>1. The number and date of meetings held with stakeholders to discuss the feasibility of implementing measures that reduce emissions in the open areas/desert areas west of the Corridor.
 2. A description of the measures considered, along with a discussion of feasibility, proposed next steps, and metrics to track in the coming year.</t>
  </si>
  <si>
    <t>Planning</t>
  </si>
  <si>
    <t>2031 Data Collection</t>
  </si>
  <si>
    <t>School Flag Program</t>
  </si>
  <si>
    <t>School Districts, Air District</t>
  </si>
  <si>
    <t>1. District is working with CCV and the CSC to develop a Project Plan for this mitigation strategy.
2.  In Progress; implementation will being once the Project Plan is drafted and submitted to CARB for approval. 3.  In conversation with Schools to figure out a way to implement digital colored marquee without interfering the School’s already set up programming</t>
  </si>
  <si>
    <t>District is in the process of installing cameras in the desert, outside of the Corridor, and will make this video available to the public so as to monitor for potential exposure concerns of fugitive dust.</t>
  </si>
  <si>
    <t>Technology Development</t>
  </si>
  <si>
    <t>2026 Data Collection</t>
  </si>
  <si>
    <t>District is proposing to perform an annual retrospective review of enforcement statistics in order to identify areas of improvements.</t>
  </si>
  <si>
    <t>1. The annual review of compliance and enforcement will be provided to the public on October 1, 2021. 
  2. The attached ICAPCD Compliance &amp; Enforcement Report (Enforcement Report) is based on permitted source inspections in the Corridor conducted in 2020.
 There was a total of 253 inspections conducted out of a maximum of 264 (for details, see attached Enforcement Report).
 3. See attached Enforcement Report to review data on the NOVs and NTCs that were issued in 2020 in the Corridor. 
 4. See attached Enforcement Report which shows complaint date, complaint number, complaint type, location &amp; description of complaint and the action taken during investigation.
 5. See attached Enforcement Report for number of NOVs and NTCs resolved.
 6. See attached Enforcement Report for non-compliance rate for 2020 for permitted sources in the Corridor.</t>
  </si>
  <si>
    <t>District to perform cross agency training of their rules to help with the identification of specific types of violations.</t>
  </si>
  <si>
    <t>Training</t>
  </si>
  <si>
    <t>Inner Agency</t>
  </si>
  <si>
    <t>2025 Data Collection</t>
  </si>
  <si>
    <t>District is proposing to provide annual training to industry, with certain focused training available upon request. Along with enforcement related workshops geared for the community.</t>
  </si>
  <si>
    <t>Industry</t>
  </si>
  <si>
    <t>2027 Data Collection</t>
  </si>
  <si>
    <t>AD Data</t>
  </si>
  <si>
    <t>Incentives for School Bus Replacement</t>
  </si>
  <si>
    <t xml:space="preserve"> The Air District completed the funding and implementation of one school bus project, consisting of the replacement of one old diesel school bus with an electric school bus, for Calexico Unified School District (CUSD) in September 2020. The project also included funding the installation of one (1) charging station at CUSD for the new electric school bus. Most recently, CSC members approved the replacement of 3 more buses at Heber Elementary School District (HESD) in September 2023 and are currently pending completion.
From the CAP Incentives, there is only the funding spent for 1 school bus. Where is the other funding from?</t>
  </si>
  <si>
    <t>Data Accessibility</t>
  </si>
  <si>
    <t>Not Included</t>
  </si>
  <si>
    <t xml:space="preserve">Partnered with UCSD to install high definition cameras to expose fugitve dust </t>
  </si>
  <si>
    <t xml:space="preserve">2024 Annual Report </t>
  </si>
  <si>
    <t xml:space="preserve">Collaboration with community and industry to improve compliance: open burning; agricultural burning; fugitive dust rule, imperial irrigation district 
Improved wesbite to ease reporting and air quality complaints </t>
  </si>
  <si>
    <t xml:space="preserve">3 year report </t>
  </si>
  <si>
    <t xml:space="preserve">Update </t>
  </si>
  <si>
    <t>●Annual review of this data is provided in this
Annual Report, published on February 8, 2024,
based on permitted inspections in the Corridor
conducted in 2023.
● There was a total of 278 inspections conducted on
262 permitted sources.
●Corridor: 42 Notices to Comply (NTCs) were
issued; 61 Notices of Violation (NOVs) were
issued.
● Corridor: 36 complaints were filed.
● Corridor: The non-compliance rate for 2023 was
14.50%.</t>
  </si>
  <si>
    <t>● On July 10, 2023, the District hosted a workshop
with (6) school districts within the Corridor to gather
input and determine feasibility of signage at these
locations.
● On November 2023, the District funded and
provided idling signage to each school district. Each
school district committed to installing a minimum of
one (1) sign per school by the end of the school
year. By May 2024, thirty four (34) elementary
schools and high schools in the Corridor installed
engine idling signage on campus.
● Conversations in progress to bring stakeholders to the
table. Coordination efforts between District and CARB
are expected to have a public workshop presented by
CARB by 2024 for local heavy-duty truck fleets to provide education to reduce idling.
● In 2023 and 2024, the District met with city officials
representing each city in the Corridor, to discuss the
reduction of idling.
● In June 2024, the County’s Public Works installed
truck idling signs along main routes in Heber, that
reference California Code &amp; Regulation on Idling.</t>
  </si>
  <si>
    <t>Incentives for Wood Burning</t>
  </si>
  <si>
    <t xml:space="preserve">● October 2019 – District conducted surveys.
● June 2020 – District sent letters to participants.
● Winter 2022 –Expect to install cleaner
burning equipment.
● District currently has 10 signed agreements for the
replacement of wood burning devices.
● Installations are expected to begin in Winter 2024.
However, in attempts to reach a broader audience,
the Air District intends to open a new RFP.
● ICAPCD will require additional time to complete
this strategy. </t>
  </si>
  <si>
    <t>Open Request for Proposal</t>
  </si>
  <si>
    <t>CERP, 2024 Annual Report</t>
  </si>
  <si>
    <t>Light- and Medium-Duty Vehicles</t>
  </si>
  <si>
    <t>Small Off-Road Engines (SORE)</t>
  </si>
  <si>
    <t>Lawn and Garden Equipment</t>
  </si>
  <si>
    <t>CARB proposed statewide measures that would result in emission reductions within the Corridor. These measures include: Advanced Clean Cars 2, Advanced Clean Truck, Heavy-Duty Inspection and Maintenance, Heavy Duty "Omnibus" Low NOx Engine Standard and Small Off-Road Engine Amendment; Zero-Emission Vehicle Fleet Rule.</t>
  </si>
  <si>
    <t>2022 Data Collection</t>
  </si>
  <si>
    <t>District will utilize CARB's Technology Clearinghouse as a reference in developing BACT and T-BACT for any new or modified source permitting processes within or directly surrounding the Corridor.</t>
  </si>
  <si>
    <t>2023 Data Collection</t>
  </si>
  <si>
    <t>District is proposing to revise internal Policy #17 "Guidelines for Staff Processing and Investigation of Complaints".</t>
  </si>
  <si>
    <t>Policy</t>
  </si>
  <si>
    <t>Over the last couple of months the Air District evaluated and compared the Air District's Policy 17 - Guidelines for Staff Prcessing and Investigating Complaints with those of other Air Districts including, SJVAPCD, Ventura County APCD, Santa Barbara APCD and Bay Area AQMD. The ICAPCD has drafted a revised policy based on the best methods that can be implemented locally.</t>
  </si>
  <si>
    <t>District is proposing to revise internal Policy #18 "Notices of Violation Issuance and Follow Up" and Policy #28 "Notices to Comply - Administrative Guidelines".</t>
  </si>
  <si>
    <t>Policies 18 and 28 were reviewed and evaluated based on comparison with other Air Districts similar policies.</t>
  </si>
  <si>
    <t>Identification of potential control options on two industrial sources which are subject to expedited BARCT schedule, but are outside of the Corridor.</t>
  </si>
  <si>
    <t>District has updated their Policy #34 "Agricultural Burning Procedures for Allocating Acreage, Burn Day Decisions and Tracking".</t>
  </si>
  <si>
    <t>2024 Data Collection</t>
  </si>
  <si>
    <t>Public Schools</t>
  </si>
  <si>
    <t xml:space="preserve">80% Complete </t>
  </si>
  <si>
    <t>Private Schools</t>
  </si>
  <si>
    <t>Technology Research</t>
  </si>
  <si>
    <t xml:space="preserve">
Automated License Plate Reader (ALPR) and Portable Emissions Acquisition System (PEAQS) Deployment Location Activity held to identify CSC locations of concern
CARB conducted an ALPR-PEAQS pilot study in March 2023 in Boyle Heights
Coordinating with CARB to potentially use future ALPR data to identify potential truck routes
CARB continues to regularly conduct PEAQS campaigns for enforcement purposes
Solicited feedback from CSC members about neighborhood streets and corridors of concern for truck traffic
80% progress </t>
  </si>
  <si>
    <t>CERP Dashboard Tracker</t>
  </si>
  <si>
    <t>Conduct initial air measurements from mobile platforms to look at pollution in the areas of traffic concern for a review with traffic information</t>
  </si>
  <si>
    <t>Air Measurements</t>
  </si>
  <si>
    <t xml:space="preserve">Comprehensive air monitoring activities (including mobile and fixed-site monitoring) have been conducted in this community by South Coast AQMD and its contractor. Since the initiation of Community Air Monitoring Plan (CAMP) implementation in Quarter 3 2019, comprehensive mobile monitoring surveys have continued to be conducted in the community measuring diesel exhaust emission markers such as particulate matter (PM), black carbon (BC), ultrafine particles (UFP), and nitrogen dioxide (NO2), including contractor's (Aclima) intensive (24/7) measurements from July 1, 2021 through September 30, 2021, covering the entire community. Additional mobile monitoring surveys have been conducted with South Coast AQMD's multi-metal mobile platform (MMMP) that is also equipped with instrumentation to measure diesel exhaust emission markers from June 2022 through September 2023. An update to the MMMP dashboard was made in Q1 2025 to include pollutants related to diesel exhaust emission markers. Additionally, a fixed-site monitoring station was established at Resurrection Church to track concentration trends. Continuous measurements were performed at this site from Quarter 3 2019 through Quarter 4 2023.
Updates have been provided at August 2019, October 2019, August 2020 Quarter 3, August 2021 Quarter 3, November 2021 Quarter 4, February 2022 Quarter 1, and November 2022 Quarter 4 CSC Meetings. An update regarding the termination of measurements at Resurrection Church was provided to the CSC in the 2023 Quarter 4 CSC meeting. A summary of the monitoring efforts and key findings from this objective was presented at the May 2024 Quarter 2 CSC Meeting. </t>
  </si>
  <si>
    <t>Auto Body Shops</t>
  </si>
  <si>
    <t>LACoFD provided: 
- list of their known auto body shops
- guidance documents on paint booth filters, used oil generator requirements and accumulation storage time limits for hazardous waste distribution  
SCAQMD distributed documents during the 2024 inspections. An update on the completed objective was provided to the CSC at the October 2024 Quarter 4 CSC Meeting.
Noted as 100% Progress</t>
  </si>
  <si>
    <t>Conducted outreach on the Small Business Assistance (SBA) program at the Boyle Heights Neighborhood Council Transportation &amp; Environment Committee Meeting (September 2021) and Legacy LA Environmental Justice Town Hall (June 2023)
SBA outreach efforts ongoing
CSC updated
Noted as 30% Progess</t>
  </si>
  <si>
    <t>Distribute information about the Small Business Assistance Program through targeted outreach to facilities and through community based events and update the CSC</t>
  </si>
  <si>
    <t>Metal Facility</t>
  </si>
  <si>
    <t xml:space="preserve">
Training
South Coast AQMD developed training materials for metal processing facility business owners and workers.
Training video will be available on the ELABHWC AB617 community webpage.
South Coast AQMD will update the CSC during the October 2024 CSC Meeting and report completion of this objective.
Outreach
Conducted outreach on Small Business Assistance (SBA) program at the Boyle Heights Neighborhood Council Transportation &amp; Environment Committee Meeting (September 2021) and Legacy LA Environmental Justice Town Hall (June 2023)
SBA outreach efforts ongoing</t>
  </si>
  <si>
    <t>Implement EJCP CARE program and WHAM program in at least two schools, with the possibility of continuing for up to three years</t>
  </si>
  <si>
    <t>Youth Education</t>
  </si>
  <si>
    <t>Transfer Stations</t>
  </si>
  <si>
    <t>Meet with CSC to for input on how to enhance FIND tool, implement enhancements, hold 4 events to increase awareness of FIND, and update the CSC</t>
  </si>
  <si>
    <t>Tools</t>
  </si>
  <si>
    <t>Incentive Outreach</t>
  </si>
  <si>
    <t>Mobile Sources</t>
  </si>
  <si>
    <t>Inspections</t>
  </si>
  <si>
    <t xml:space="preserve">Rendering Facility </t>
  </si>
  <si>
    <t>Outreach on Rule 415 - Odors from Rendering Facilities implementation status and about Rule 415 was conducted at the Boyle Heights Neighborhood Council's Transportation &amp; Environment Committee Meeting on September 21, 2021 and October 23, 2020, respectively. An update and presentation of Rule 415 and compliance efforts were provided to the CSC at the May 2022 Quarter 2 CSC Meeting.
CSC updates were given at the December Quarter 4 2020 and May Quarter 2 2022 CSC Meetings. South Coast AQMD provided a final update at the May Quarter 2 2024 CSC meeting. Statistical data on odor complaints and rendering facility compliance information for Rule 402 - Nuisance and Rule 415 - Odors from Rendering Facilities were compiled and presented. An update on the completed objective was provided to the CSC at the May 2024 Quarter 2 CSC Meeting.</t>
  </si>
  <si>
    <t>CERP Tracker Dashboard</t>
  </si>
  <si>
    <t xml:space="preserve">Exposure Reduction </t>
  </si>
  <si>
    <t>Engage in at least 2 outreach events in this community to provide information and training on how to file air quality complaints by phone, web, or mobile app and is to include information about rules that apply to waste transfer stations</t>
  </si>
  <si>
    <t>Complaints</t>
  </si>
  <si>
    <t>Develop a list of metal processing facilities and their location in the community, make this data list to the public, and update the CSC</t>
  </si>
  <si>
    <t xml:space="preserve">List </t>
  </si>
  <si>
    <t xml:space="preserve">Metal Facility </t>
  </si>
  <si>
    <t>Industry - Small Businesses, Air District, City</t>
  </si>
  <si>
    <t>Participate in at least two public outreach events (e.g., health fair, Earth Week event) at schools or childcare centers to provide information relating to air quality and reducing exposure</t>
  </si>
  <si>
    <t xml:space="preserve"> Youth</t>
  </si>
  <si>
    <t>Air District, School Districts, "Community Centers (libraries, senior centers +)"</t>
  </si>
  <si>
    <t>Provide information relating to air quality effects on young children and reducing exposure to facilities where children are located (e.g., schools, childcare centers, community centers, libraries, etc.), prioritizing based on CSC input and update the CSC</t>
  </si>
  <si>
    <t>Seek funding opportunities for advertising 1-800-CUT-SMOG, if funding is obtained, conduct targeted advertising in ELAB, and update the CSC</t>
  </si>
  <si>
    <t>Community Partners</t>
  </si>
  <si>
    <t>Work with CSC to identify community partners that would benefit from education on how to file an air quality complaint using variety of methods, hold two outreach events to provide information and training on how to file a complaint, and update the CSC</t>
  </si>
  <si>
    <t>Engage in two incentive outreach events on replacing older, polluting vehicles with cleaner vehicles per year and update the CSC</t>
  </si>
  <si>
    <t>Engage in two public outreach events to distribute information about the South Coast AQMD’s rules, permitting process, Small Business Assistance Program, and complaint system as it relates to auto body shops and update the CSC</t>
  </si>
  <si>
    <t>Auto Body Shop</t>
  </si>
  <si>
    <t>Identify facilities that require a permit that do not have one by developing a list of relevant facility types for permit cross-checks, creating a list of common facility types to provide guidelines for, conducting annual permit cross-checks with land use agencies, and work with facilities to obtain South Coast AQMD permit, and update the CSC</t>
  </si>
  <si>
    <t>Stationary Source Permitting</t>
  </si>
  <si>
    <t>Work with CARB’s enforcement team (and CHP) to coordinate, at a minimum, quarterly idling sweeps and focused inspections for a period of one year with quarterly updates to the CSC, based on findings from idling sweeps and CSC input, CARB will adjust enforcement in the community to address the identified concerns and update the CSC</t>
  </si>
  <si>
    <t>CARB, CHP</t>
  </si>
  <si>
    <t>Line-Haul</t>
  </si>
  <si>
    <t>Rubber Tired Loaders</t>
  </si>
  <si>
    <t>Shafter</t>
  </si>
  <si>
    <t>shafter</t>
  </si>
  <si>
    <t xml:space="preserve">General </t>
  </si>
  <si>
    <t>Once data is available, review data obtained and begin targeted outreach to owners of older dirtier trucks and dirty trucks that frequently travel through this community to provide information on incentive programs and update CSC</t>
  </si>
  <si>
    <t>"Encourage Replacement of Older Polluting Vehicles with Cleaner
Vehicles, including Zero-Emission Vehicles
• Conduct targeted outreach through local organizations, businesses, utilities, and/or schools (e.g., colleges or universities) to provide information to the community about battery electric, fuel cell, and hybrid options and incentives available to encourage replacement of older polluting vehicles with cleaner vehicles, and to install chargers at homes and in the community
• Work with partners to develop ideas for the best way to disseminate thisinformation, such as through a community showcase, participation in community events, or other outreach venues
• Work with partners to increase the availability of publicly accessible electric vehicle charging stations in the community 
from CERP</t>
  </si>
  <si>
    <t>Truck Incentives</t>
  </si>
  <si>
    <t>Conduct air measurements at railyards in ELABHWC and update the CSC</t>
  </si>
  <si>
    <t>Railyard</t>
  </si>
  <si>
    <t>Install air monitoring equipment at schools, childcare centers, libraries, and community centers prioritized by CSC, as necessary, and update CSC</t>
  </si>
  <si>
    <t>Schools</t>
  </si>
  <si>
    <t>Develop guidelines for land use agencies on building and property features that could reduce air pollution impacts from common facility types and update the CSC</t>
  </si>
  <si>
    <t>Building Standard</t>
  </si>
  <si>
    <t>Use emissions inventory and air monitoring information to identify opportunities for emission reductions, when available and update the CSC</t>
  </si>
  <si>
    <t>If the Green Zones ordinance is adopted, develop a system to provide technical consultation pertaining to reducing facility air pollution emissions to LA County Planning on permit applications and renewals and update the CSC</t>
  </si>
  <si>
    <t>Stationary Sources</t>
  </si>
  <si>
    <t>County, Air District</t>
  </si>
  <si>
    <t>Begin mobile air measurements at key truck idling locations and update the CSC</t>
  </si>
  <si>
    <t>Collaborate with CSC to identify and prioritize locations for “No Idling” signs, collaborate with other cities and county, install signs, and update the CSC</t>
  </si>
  <si>
    <t>Engage in two outreach events within the span of implementation of this CERP to inform community members how to report idling trucks, and update the CSC</t>
  </si>
  <si>
    <t xml:space="preserve">Outreach to Residents </t>
  </si>
  <si>
    <t>Residential Air Filtration</t>
  </si>
  <si>
    <t>Not listed how many air filters were distribited</t>
  </si>
  <si>
    <t>CERP, CERP Tracker</t>
  </si>
  <si>
    <t>Begin monitoring near metal processing facilities; identify and prioritize facilities that may require additional follow up; and update the CSC</t>
  </si>
  <si>
    <t>Stationary Source Inspection and Monitoring</t>
  </si>
  <si>
    <t>Conduct air measurements near auto body shops and if persistent elevated levels are found; conduct follow-up investigations and/or enforcement actions, where appropriate, and update the CSC</t>
  </si>
  <si>
    <t>Conduct air monitoring for VOCs near each rendering facility and in the community to better characterize the emissions, make data available to the public, and provide quarterly or biannual updates to CSC on monitoring</t>
  </si>
  <si>
    <t>Rendering Facility</t>
  </si>
  <si>
    <t>Conduct initial screening using air measurement equipment to identify potential facilities that may be responsible for fugitive dust emissions and odor emissions, conduct follow-up air measurements near facilities that are determined to be the source of emissions, conduct unannounced inspections, and update the CSC</t>
  </si>
  <si>
    <t>Waste Transfer</t>
  </si>
  <si>
    <t>Continue response to odor complaints and update complainants on a timely basis, continue inspections to evaluate compliance with Rule 415, and provide inspection results to CSC, and update the CSC</t>
  </si>
  <si>
    <t>Heavy Duty Trucks</t>
  </si>
  <si>
    <t>Ongoing Mobile Monitoring: South Coast AQMD has conducted extensive mobile air monitoring since Q3 2019, including 24/7 contractor-led surveys (Aclima) and MMMP surveys from June 2022 to September 2023.
Fixed-Site Monitoring: A station at Resurrection Church collected continuous data from Q3 2019 to Q4 2023 to track pollutant trends.
Key Pollutants Measured: Monitoring focused on diesel emission markers such as PM, BC, UFP, and NO₂.
Data Accessibility: The MMMP dashboard was updated in Q1 2025 to include diesel-related pollutants.
Community Updates: Findings were regularly shared at CSC meetings, including notice of fixed-site monitoring termination and a summary presentation in May 2024.</t>
  </si>
  <si>
    <t>Provide biannual updates on CARB’s rule development for truck regulations, and seek community input on progress and update the CSC</t>
  </si>
  <si>
    <t>Provide updates on new requirements and/or other measures being developed by CARB and South Coast AQMD, including CARB's regulation for locomotives and railyards, zero emission TRUs, drayage trucks, and cargo handling equipment, and update the CSC</t>
  </si>
  <si>
    <t>Consider development of new ISR and/or other measures on railyards and provide semiannual updates to CSC on new requirements developed by CARB and South Coast AQMD</t>
  </si>
  <si>
    <t>Truck Incentive Program</t>
  </si>
  <si>
    <t xml:space="preserve">The Clean Technology Truck Loaner Program will allow older medium- and heavy-duty on-road diesel truck fleets in participating AB 617 Communities to try zero emission technology. The program enables these truck owners and operators to determine the suitability of zero-emission technologies without committing to a full-scale truck purchase. Further, the program provides education on the benefits of zero-emission technologies. </t>
  </si>
  <si>
    <t>Truck Loan</t>
  </si>
  <si>
    <t>Wilmington, West Long Beach, Commerce</t>
  </si>
  <si>
    <t>wilmington_carson_west_long_beach</t>
  </si>
  <si>
    <t>Oil Leaks</t>
  </si>
  <si>
    <t>Enforcement update provided at December 2020 CSC Quarter 4 meeting.
Mobile measurements have been conducted in the port area (including Ports of Los Angeles and Long Beach) to measure air pollutants such as particulate matter (PM), black carbon (BC), ultrafine particles (UFP), and nitrogen dioxide (NO2) in this community. Results from these mobile monitoring efforts can be accessed through the Mobile Monitoring Dashboard and Story Map published on the WCWLB monitoring webpage. 
As part of the Enhanced PM2.5 Monitoring United States Environmental Protection Agency (U.S. EPA) grant, a new site will be established in Wilmington, CA, for a full characterization of PM2.5 chemical components and physical properties. This project will help identify contributions from sources in the area (including Ports) to ambient PM2.5 concentrations. 
Only Noted: Rule 1142 - Marine Tank Vessel Operations was assessed and an amendment is not needed at this time</t>
  </si>
  <si>
    <t>Determine if rule amendment is needed, using CAMP efforts and CARB's Study of Neighborhood Air near Petroleum Sources (SNAPs) program, and implement rule amendments if needed, including working with stakeholders to gather input on measures to reduce emissions from leaks and enhance reporting requirements, and update the CSC</t>
  </si>
  <si>
    <t>Oil Well</t>
  </si>
  <si>
    <t>Participate in and provide biannual updates on CARB’s rule development for truck regulations, seek community input on progress, and coordinate with CARB on using community priorities to focus future enforcement efforts, including CARB's efforts enforcing truck regulations, and update the CSC</t>
  </si>
  <si>
    <t>Refinery</t>
  </si>
  <si>
    <t>Participate in CARB rule development for commercial harbor craft, at-berth vessels, drayage trucks and cargo handling equipment and monitor progress in the Ports' CAAP measures, seek community input on these programs, and enforcement of drayage truck regulation, and update the CSC</t>
  </si>
  <si>
    <t>Pursue ISR for railyards; work with CARB on development of new requirements to reduce air pollution from railyards; work with local utilities and state agencies to encourage ZE infrastructure; continue to support CARB's petition to USEPA; allocate incentive funding to replace on-site diesel equipment; participate in CARB and SCAQMD rulemaking process; prioritize enforcement and seek new financial incentives for railyards</t>
  </si>
  <si>
    <t>Railyards Action 1: 
 (4/6) Continue to support CARB’s petition to the U.S. EPA for new national locomotive emission standards for near-zero and zero-emission locomotives</t>
  </si>
  <si>
    <t>Participated in EPA's Mobile Sources Technical Review Subcommittee (MSTRS)'s locomotive working group on a potential new federal locomotive engine standards.</t>
  </si>
  <si>
    <t>Cargo Handling Equipment, Heavy Duty Deisel Vehicles</t>
  </si>
  <si>
    <t>Funding from Supplemental Environmental Funds (SEP)</t>
  </si>
  <si>
    <t xml:space="preserve">Work with cities and the county to evaluate designated truck routes and resources to enforce these routes and identify agencies to collaborate with on physical barriers to mitigate neighborhood truck traffic, and work with local agencies to provide data on locations with high truck pollution impacts, and update the CSC. Neighborhood Truck Traffic: Action 2 (5/9) Work with the local city or county agencies to evaluate potential designated truck routes away from sensitive receptors (e.g., schools, residents) and identify resources to enforce these routes; (6/9) Work with local agencies to provide data on locations within the community with high truck pollution impacts 
</t>
  </si>
  <si>
    <t xml:space="preserve">Neighborhood Truck Traffic: Action 2 
(5/9) Work with the local city or county agencies to evaluate potential designated truck routes away from sensitive receptors (e.g., schools, residents) and identify resources to enforce these routes 
(6/9) Work with local agencies to provide data on locations within the community with high truck pollution impacts 
</t>
  </si>
  <si>
    <t>Air District, CalTrans, City, County</t>
  </si>
  <si>
    <t>June 2019 - Initiated potential collaboration with City of Los Angeles 
May 2020 - Continued discussions with City of Los Angeles regarding community plan update 
In South Coast AQMD's role as commenting agency pursuant to California Environmental Quality Act (CEQA), South Coast AQMD reviews CEQA documents prepared by city/county planning departments and provides comments and guidance on how to minimize truck emissions and truck traffic. Projects undergoing CEQA review are identified by land use and AB 617 community, and are tracked in a monthly report to the South Coast AQMD Governing Board, Intergovernmental Review (IGR) of Environmental Documents, and CEQA Lead Agency Projects. 
South Coast AQMD developed a Frequently Asked Questions/Guidance (FAQ) webpage that is available here: https://www.aqmd.gov/home/rules-compliance/ceqa/frequently-asked-questions, and a Quick Reference Guide for Land Use Projects and Activities in AB 617 Communities, which is available here: https://www.aqmd.gov/docs/default-source/ceqa/documents/ab617-quickreferenceguide-feb2025.pdf). Both the FAQ and the Quick Reference Guide have been shared with the CSC and relevant land use agencies.
Also, South Coast AQMD developed an instructional video on truck routes to solicit feedback from the CSC to identify neighborhood streets and corridors which may benefit from restricted truck access. Other informational material such as truck traffic maps were developed and provided to community members as well to assist with the decision-making process. In addition to sharing ALPR data with transportation agencies, South Coast AQMD will compile and share feedback received from the CSC regarding suggested locations for truck access restrictions and report on developments in future reporting periods.
In 2024 - Participating in Caltrans Technical Advisory Committee to assist in reducing emissions from
heavy-duty trucks for the Vincent Thomas Bridge deck replacement project</t>
  </si>
  <si>
    <t>Engage in one outreach event per year in the Port area to provide information about incentives and update the CSC</t>
  </si>
  <si>
    <t>Incentives Outreach</t>
  </si>
  <si>
    <t>Engage in two incentive outreach events per year, target funds for small businesses and independent owners and operators and identify additional and new incentive opportunities to replace or accelerate cleaner heavy-duty trucks (prioritizing zero emission), and provide updates to the CSC</t>
  </si>
  <si>
    <t>Work with authorities in Asia to collaborate on Pacific Rim clean vessel incentive program (PRIMER initiative), engage in outreach for PRIMER initiative, and sign agreement, and participate in CARB's rule development for At-Berth Regulation and Commercial Harbor Craft Regulation, and update the CSC</t>
  </si>
  <si>
    <t>Industry - Port, Air District</t>
  </si>
  <si>
    <t>South Coast AQMD conducted delegation visit in September 2024 to Shenzhen, China and signed a Memorandum of Cooperation (MOC) with Shenzhen, China, and the Port of Long Beach to reduce emissions from shipping routes and port operations. 
 CARB adopted amended At-Berth regulation in 2020 and amended CHC regulation in 2022.</t>
  </si>
  <si>
    <t>Work with local utilities and state agencies such as California Energy Commission (CEC) and California Public Utilities Commission (CPUC) to encourage the installation of infrastructure for fuel/charge zero emission vehicles and on-site equipment at the BNSF Railyard. Railyards Action 1: (3/6) Work with local utilities and state agencies (e.g., California Energy Commission and the Public Utilities Commission) to encourage the installation of infrastructure needed to fuel/charge zero-emissions vehicles and equipment</t>
  </si>
  <si>
    <t>Work with local utilities and state agencies such as California Energy Commission (CEC) and California Public Utilities Commission (CPUC) to encourage the installation of infrastructure for fuel/charge zero emission vehicles and on-site equipment at the BNSF Railyard</t>
  </si>
  <si>
    <t>Electrification Infrastructure Collaboration</t>
  </si>
  <si>
    <t>Description: 
Work with local utilities and state agencies such as California Energy Commission (CEC) and California Public Utilities Commission (CPUC) to encourage the installation of infrastructure for fuel/charge zero emission vehicles and on-site equipment at the BNSF Railyard
Status:
Meetings with railroads have started, with large focus on zero emission (ZE) infrastructure. Waiting for railroads cooperation.</t>
  </si>
  <si>
    <t>CAP Incentives 
CERP Tracker Dashboard</t>
  </si>
  <si>
    <t>Provide a summary of flare emissions data from the Rule 1118 quarterly reports to the CSC and provide them in a user-friendly format on the South Coast AQMD website and/or mobile application. Refineries Action 1: Improve Refinery Flaring Notifications (4/5) Provide flare emissions data in a user-friendly format on the South Coast AQMD’s website and/or the mobile application (5/5) Collaborate with the CSC (e.g., community-based organizations and others) on community air monitoring efforts</t>
  </si>
  <si>
    <t>Provide a summary of flare emissions data from the Rule 1118 quarterly reports to the CSC and provide them in a user-friendly format on the South Coast AQMD website and/or mobile application</t>
  </si>
  <si>
    <t>Quarterly emissions data is posted through Calendar Year 2023 on the Flare Operator Information webpage.
 An update on the completed objective was provided to the CSC at the June 2024 Quarter 2 CSC Meeting.</t>
  </si>
  <si>
    <t>Oil Drilling</t>
  </si>
  <si>
    <t>Outreach to school districts to provide information on programs, such as, Safe Routes to School or ridesharing, and update the CSC</t>
  </si>
  <si>
    <t>Safe Routes to Schools</t>
  </si>
  <si>
    <t>Air District, School Districts</t>
  </si>
  <si>
    <t>Continue to identify funding sources or partnering agencies to implement direct public health interventions (e.g. asthma intervention), and update CSC</t>
  </si>
  <si>
    <t>Health Agencies</t>
  </si>
  <si>
    <t>Work with local public health departments, including the LA County Department of Public Health, to develop and distribute outreach materials on reducing exposure and air quality related information to oil drilling and production site activities, provide summaries of air measurement and inspection activities, review the Los Angeles County Department of Public Health’s finalized Community Health Improvement Plan (CHIP), and update the CSC</t>
  </si>
  <si>
    <t>Air District, Public Health Agency</t>
  </si>
  <si>
    <t>Work with the Los Angeles County and City of Long Beach Departments of Public Health to provide information on how to receive air quality advisories, and information relating to air quality effects on young children and reducing exposure to facilities where children are located (e.g., schools, childcare centers, community centers, libraries, etc.), prioritizing based on CSC input and update the CSC. Provide this information to school districts.</t>
  </si>
  <si>
    <t>Engage in two public outreach events (e.g., health fairs, Earth week event) at schools or childcare centers on information relating to air quality and reducing exposure</t>
  </si>
  <si>
    <t>Health Impacts</t>
  </si>
  <si>
    <t>Air District, "Community Centers (libraries, senior centers +)", School Districts</t>
  </si>
  <si>
    <t>Collaborate with community-based organizations to engage in outreach meetings</t>
  </si>
  <si>
    <t>Community Organizations</t>
  </si>
  <si>
    <t>Oil Drilling and Production Action 2:
 (1/5) Develop fact sheets or info-graphics summarizing findings from air measurement data, complaint response, and inspections of oil drilling and production facilities in this community 
 (2/5) Work with local public health departments on health-related messaging on risks posed by these oil drilling and production facilities (e.g., water pollution, hazardous waste storage, etc.) and measures to reduce exposure to risks from oil drilling and production sites 
 (3/5)Work with local public health departments to distribute fact sheets or info-graphics to the community
 Review the Los Angeles County Department of Public Health’s finalized Community Health Improvement Plan (CHIP) and incorporate air quality related information to address or mitigate emissions from oil drilling and production sites 
 Work with stakeholders to identify and implement key areas for improvement for the Rule 1148.2 information and notifications
 Provide community workshops and training on how to subscribe to and use notifications</t>
  </si>
  <si>
    <t>South Coast AQMD initiated discussions with the Los Angeles County Department of Public Health (LA County DPH) to determine roles for developing outreach materials. Fact sheets will incorporate information summarizing findings from air measurements and inspection activities. South Coast AQMD will continue to pursue this effort. 
 The Los Angeles County Department of Public Health delayed finalizing Community Health Improvement Plan (CHIP) due to COVID-19 pandemic. As of June 2023, Los Angeles County Department of Public Health's website states: "Public Health will embark on a new planning process to develop a new community health improvement plan that centers equity at its core starting in the Fall of 2023."
 Delayed due to absence of Health Effects Officer. Discussing next steps internally for summaries of air measurement and inspection activities. Reestablished contacts with LA County DPH and developed informational outreach material in collaboration. Materials will be distributed at future outreach events.</t>
  </si>
  <si>
    <t>Refineries Action 1: Improve Refinery Flaring Notifications 
 (2/5) Work with local public health departments to develop informational outreach materials for the community to describe the risks posed by emissions from refinery flaring, and how to reduce exposures 
 (3/5) Hold workshops in the community to provide information on flaring and training on how to use these notification systems</t>
  </si>
  <si>
    <t>Develop informational public health outreach materials with local public health departments that provide guidance on reducing exposure to refinery flaring emissions, conduct outreach, and update the CSC</t>
  </si>
  <si>
    <t>Delayed due to absence of Health Effects Officer. Discussing next steps internally.
 Refinery flare notifications are available with basic instructions related to air pollutants: https://xappp.aqmd.gov/fens/public
 Contacts established at Los Angeles County Department of Public Health (LA County DPH), but have changed. 
 Reestablished contacts with LA County DPH, who provided contacts at the University of California, Los Angeles (UCLA) for collaboration on informational outreach materials. Two attempts were made to connect with UCLA for collaboration on informational outreach materials to reduce refinery flaring emissions.</t>
  </si>
  <si>
    <t>Refineries Action 1: Improve Refinery Flaring Notifications 
 (1/5) Work with stakeholders, including the CSC, to gather input on identifying specific information to include in the notifications (e.g., access to fenceline and community air monitoring data, and ways to reduce exposure to flaring emissions) 
 Work with local public health departments to develop informational outreach materials for the community to describe the risks posed by emissions from refinery flaring, and how to reduce exposures 
 Hold workshops in the community to provide information on flaring and training on how to use these notification systems 
 Provide flare emissions data in a user-friendly format on the South Coast AQMD’s website and/or the mobile application 
 Collaborate with the CSC (e.g., community-based organizations and others) on community air monitoring efforts</t>
  </si>
  <si>
    <t>Implement flare notification improvements, hold community workshops to provide training on notification system, and update the CSC</t>
  </si>
  <si>
    <t>Public Health Agency, Air District</t>
  </si>
  <si>
    <t>South Coast AQMD conducted the following: 
 September/October 2020 - Tutorial sessions held for flare notification system users
 October 2020 - Launched Flare Event Notification System (FENS) Phase II for refinery operators
 Additional CSC updates on Rule 1118 - Control of Emissions from Refinery Flares occurred at the following CSC Meetings:
 1. May 2022 Quarter 2
 2. August 2022 Quarter 3
 3. November 2022 Quarter 4</t>
  </si>
  <si>
    <t>Discussion between the US Coast Guard and South Coast AQMD about Rule 1142 - Marine Tank Vessel Operations and South Coast AQMD's jurisdiction, occurred in July 2020.
South Coast AQMD conducts regular surveillance of maritime activities and vessel boarding for on-site inspections.
Rule 1142 already requires vessels to identify, mitigate and prevent fugitive vapor leaks from marine tank vessel- no rule amendment needed.
South Coast AQMD updated the CSC during the February 2019, December 2020 and June 2024 CSC Meetings.
An update on the completed objective was provided to the CSC at the June 2024 Quarter 2 CSC Meeting. 
Only Noted: Rule 1142 - Marine Tank Vessel Operations was assessed and an amendment is not needed at this time</t>
  </si>
  <si>
    <t>Work with Railroads in WCWLB community to replace diesel-fueled equipment with cleaner technologies through mobile source incentives and statewide mobile source regulations</t>
  </si>
  <si>
    <t>Industry, Air District</t>
  </si>
  <si>
    <t>Identify additional incentive funding opportunities for cleaner port equipment and drayage trucks and complete technology demonstration for retrofitting ocean-going vessels, and provide updates to the CSC </t>
  </si>
  <si>
    <t>Crew and Supply Ship, Tug Boat, Work Boat, Fishing Boats</t>
  </si>
  <si>
    <t>South Coast AQMD conducted delegation visit in September 2024 to Shenzhen, China and signed a Memorandum of Cooperation (MOC) with Shenzhen, China, and the Port of Long Beach to reduce emissions from shipping routes and port operations. CARB adopted amended At-Berth regulation in 2020 and amended CHC regulation in 2022.</t>
  </si>
  <si>
    <t>To provide support for planning and development of fueling infrastructure for zero and near-zero emission vehicles to support broader deployment of clean vehicles operating throughout the community.</t>
  </si>
  <si>
    <t>Natural Gas Station</t>
  </si>
  <si>
    <t>- Eligible under CAP guidelines
 - Identified potential project
 -Coordinating with land use agencies to provide information encouraging measure adoption in new development</t>
  </si>
  <si>
    <t>CERP Tracker</t>
  </si>
  <si>
    <t xml:space="preserve">Heavy Duty and Medium Duty </t>
  </si>
  <si>
    <t>75% complete 
Progress on spent funding from CAP Incentives data</t>
  </si>
  <si>
    <t>CERP, CERP Tracker, CAP Incentives</t>
  </si>
  <si>
    <t>Achieve emission reductions through mobile source incentives and amendments to statewide mobile source regulation measures and update the CSC</t>
  </si>
  <si>
    <t>General Support</t>
  </si>
  <si>
    <t>Use emissions inventory and air monitoring information to identify opportunities for emission reductions, when available and update the CSC. Railyard Action 1: (6/6) Use emissions inventory and air monitoring information to identify opportunities for emission reductions</t>
  </si>
  <si>
    <t>Emissions inventory for railyard sources were provided by CARB through public database query or inter-agency requests. 
 Inventory work and evaluation of air monitoring conducted as part of the Community Air Monitoring Plan (CAMP) is continuing. CAMP air monitoring data around rail yards available at http://www.aqmd.gov/nav/about/initiatives/environmental-justice/ab617-134/ab-617-community-air-monitoring.
 Rule 2306 - Freight Rail Yards, for new and existing freight rail yards was adopted by the South Coast AQMD Governing Board on August 2, 2024</t>
  </si>
  <si>
    <t>Oil and Drilling Production Action 1: Reduce Air Pollution Leaks from Oil Wells and Associated Activity at these Facilities 
 (1/5) Use data from South Coast AQMD and DOGGR to identify active, inactive, and abandoned oil wells in this community 
 (2/5) Work with the CSC to identify priority locations for air measurements, and aim to conduct air measurements at these locations during well workover events 
 (3/5) Conduct mobile air measurements around active, idle, and abandoned oil drilling sites (or fenceline and more traditional air monitoring activities, if necessary) to identify potential leaks 
 (4/8) Make air measurement data from these actions available online in a user-friendly format on the South Coast AQMD website (www.aqmd.gov) 
 (5/8) Share air measurement data with partner agencies to help inform their efforts</t>
  </si>
  <si>
    <t>Conduct mobile air measurements around oil drilling and production wells, prioritizing the locations identified by the CSC, post data on a dedicated webpage on the South Coast AQMD website within 30 days, share data with partner agencies to help inform efforts, and update the CSC</t>
  </si>
  <si>
    <t>Oil wellls</t>
  </si>
  <si>
    <t>Based on CSC input, South Coast AQMD defined three main regions within the community for mobile monitoring. Mobile monitoring for volatile organic compounds (VOC) and benzene, toluene, ethylbenzene, and xylenes (BTEX) near and around oil wells in these regions begun in September 2019 and is ongoing on a quarterly basis (mobile monitoring surveys were paused from approximately mid-March 2020 through early March 2021 due to restrictions due to COVID-19 pandemic). If a leak is detected, South Coast AQMD reports internally to mitigate leaks and confirm elevated levels are reduced. 
 Updates on mobile survey results and air monitoring data in a form of concentration maps have been provided at the October 2019 Quarter 4, May 2020 Quarter 2, May 2021 Quarter 2, August 2021 Quarter 3, November 2021 Quarter 4, February 2022 Quarter 1, May 2022 Quarter 2, August 2022 Quarter 3, November 2022 Quarter 3, February 2023 Quarter 1, May 2023 Quarter 2, August 2023 Quarter 3, November 2023 Quarter 4, February 2024 Quarter 1, October 2024 Quarter 4, and and February 2025 Quarter 1 CSC Meetings.</t>
  </si>
  <si>
    <t>Reduce Truck Idling: Conduct focused enforcement; collaborate with CSC to inform community on idling reporting; engage in community outreach on existing idling complaint systems; and work with CARB and local agencies to put up no idling signs. Collaborate with CSC to identify and prioritize locations for “No Idling” signs, install no idling signs, and update the CSC</t>
  </si>
  <si>
    <t>Collaborate with CSC to identify and prioritize locations for “No Idling” signs, install no idling signs, and update the CSC</t>
  </si>
  <si>
    <t>Signs - 100%
82 "No Idling" signs were installed at 23 locations identified by the CSC</t>
  </si>
  <si>
    <t>Reduce Truck Idling: Conduct focused enforcement; collaborate with CSC to inform community on idling reporting; engage in community outreach on existing idling complaint systems; and work with CARB and local agencies to put up no idling signs. Engage in two outreach events within the span of implementation of this CERP to inform community members how to report idling trucks, and update the CSC</t>
  </si>
  <si>
    <t>Outreach - 50%
Goal: 2 meetings
Progress:
One outreach event conducted at Wilmington Neighborhood Council Meeting</t>
  </si>
  <si>
    <t>Reduce Truck Idling: Conduct focused enforcement; collaborate with CSC to inform community on idling reporting; engage in community outreach on existing idling complaint systems; and work with CARB and local agencies to put up no idling signs. Begin collaborating with local businesses, agencies, and organizations to conduct outreach to truck operators in community to provide information about community ordinances, restricted truck routes, and trucking regulations, and update the CSC</t>
  </si>
  <si>
    <t>Begin collaborating with local businesses, agencies, and organizations to conduct outreach to truck operators in community to provide information about community ordinances, restricted truck routes, and trucking regulations, and update the CSC</t>
  </si>
  <si>
    <t>Truck Operators</t>
  </si>
  <si>
    <t>- developed outreach material for truck operators
- created website with quick reference guide 
- working on informational video to collect CSC feedback on truck route restrictions</t>
  </si>
  <si>
    <t xml:space="preserve">30% Complete
July 2022, South Coast AQMD submitted a residential air filtration project plan to CARB, which was approved (2022-15CIP-SC). The WCWLB CSC may have opportunities to allocate future Community Air Protection (CAP) Incentives funds to residential air filtration systems and once approved, the project plan will serve as the mechanism to distribute those funds.                                                                                  
</t>
  </si>
  <si>
    <t>Compile storage tank information and develop proposed amendments to Rule 1178 and establish baseline emissions that consider further VOC emission reductions from refinery storage tanks by: increasing frequency of visual inspections of seals and gaskets; requiring use of enhanced leak detection tools; third party audits (selected by the South Coast AQMD); and other leak prevention and emission reduction technologies including domed roofs; and update and share with CSC</t>
  </si>
  <si>
    <t>Rule 1178</t>
  </si>
  <si>
    <t>Compile the number of Rule 1118 flare events at each refinery from 2008 to 2018 and share with CSC</t>
  </si>
  <si>
    <t>Rule 1118</t>
  </si>
  <si>
    <t>Complete one year (2020) of refinery fenceline air quality monitoring (pursuant to Rule 1180) as well as advanced air monitoring pursuant to Action #2: assess sources and identify additional tools and measures for early detection, and update CSC</t>
  </si>
  <si>
    <t>Rule 1180</t>
  </si>
  <si>
    <t>Continue to develop Facility Based Mobile Source Measures, develop a warehouse ISR, and update the CSC</t>
  </si>
  <si>
    <t>Develop Proposed Rule 1109.1 with an overall goal of 50% NOx reduction and include site visits, stakeholder meetings, BARCT requirements, and hold one working group meeting in the WCWLB community, and update the CSC</t>
  </si>
  <si>
    <t>Identify and implement improvements for Rule 1148.2 notifications based on stakeholder input, conduct two community workshops and training, and update the CSC</t>
  </si>
  <si>
    <t>Initiate rule development of Rules 1178 and 1173, as appropriate, to reduce fugitive VOC emissions from storage tanks including with a goal to reduce emissions below the 2020 baseline emission levels by: 25% by 2024 and 50% by 2030, and update the CSC quarterly or semiannually</t>
  </si>
  <si>
    <t>Rule 1178 and Rule 1173</t>
  </si>
  <si>
    <t>Initiate rule development to reduce flaring events (e.g., reduce power failures, lower performance targets, increase mitigation fees, increase capacity of vapor recovery, etc.) and/or emissions by 50%, if feasible and by 2030 reduce the overall refinery emissions of NOx, VOCs, and SOx by 50% (approximately 19 tons per year (tpy) NOx, 11 tpy SOx, and 1 tpy VOC) and develop an improved system for flare emission data submittal and display, and update the CSC</t>
  </si>
  <si>
    <t>Provide to the CSC an inventory of refinery boilers and heaters identifying if the unit is being considered for BARCT. Refineries Action 5: Achieve Further NOx Emission Reductions from Refinery Equipment Through Adoption of Rule 1109.1 – Refinery Equipment. Evaluate the technical feasibility and cost-effectiveness of BARCT to reduce NOx emissions from refinery equipment including existing boilers, heaters, gas turbines, fluid catalytic cracking units, sulfur recovery units, incinerators, and a coke calciner. Require the installation of BARCT through the adoption of Rule 1109.1. Explore opportunities to replace older equipment with newer, more efficient, and less emitting equipment with pollutant co-benefits. Incorporate new, advanced tools to assist in more efficient operation of equipment at refineries. Engage the CSC in the rulemaking process, with regular updates to the CSC and possible rule working group meetings in the community</t>
  </si>
  <si>
    <t>Provide to the CSC an inventory of refinery boilers and heaters identifying if the unit is being considered for BARCT</t>
  </si>
  <si>
    <t>September 2019 - Completed by including inventory in CERP Appendix 5B.</t>
  </si>
  <si>
    <t>Establish Smart Leak Detection and Repair (LDAR) techniques, such as Fourier transform infrared spectroscopy (FTIR), Ultraviolet Differential Optical Absorption Spectroscopy (UVDOAS), Solar Occultation Flux (SOF) and infrared cameras, to identify, quantify, and locate leaks in real-time allow for faster repair of equipment. Action 2: Conduct Refinery Air Measurements to Identify and Address VOC Leaks. (2/2) Utilize more efficient and effective leak detection systems known as advanced measurement techniques (Smart LDAR), such as Fourier transform infrared spectroscopy (FTIR), Ultraviolet Differential Optical Absorption Spectroscopy (UVDOAS), Solar Occultation Flux (SOF) and infrared cameras, to identify, quantify, and locate VOC leaks in real time, allowing for faster repair in a manner that is less time consuming, labor intensive, and potentially more comprehensive than traditional LDAR</t>
  </si>
  <si>
    <t>Establish Smart Leak Detection and Repair (LDAR) techniques, such as Fourier transform infrared spectroscopy (FTIR), Ultraviolet Differential Optical Absorption Spectroscopy (UVDOAS), Solar Occultation Flux (SOF) and infrared cameras, to identify, quantify, and locate leaks in real-time allow for faster repair of equipment</t>
  </si>
  <si>
    <t>As part of implementation for South Coast AQMD Rule 1180 - Refinery Fenceline and Community Air Monitoring, South Coast AQMD worked with all refineries in this community to develop and implement fenceline air monitoring systems based on Fourier-transform infrared spectroscopy (FTIR) and differential optical absorption spectroscopy (DOAS) technologies. Further, solar occultation flux technology (SOF) was utilized in 2021-2022 to a establish volatile organic compound (VOC) emission baseline and will be utilized in future years to track emission reduction goals.
 Fenceline systems were designed in a way to detect, characterize and measure fenceline concentrations of fugitive emission plumes crossing refinery fencelines, with data provided to the public in near real-time. These systems became operational in January 2020, with no planned sunset of operations. 
 Updates have been provided at January 2020 Quarter 1, August 2020 Quarter 3, August 2021 Quarter 3, and February 2022 Quarter 1 CSC Meetings. A summary of the monitoring efforts and key findings from this objective was presented at the June 2024 Quarter 2 CSC Meeting.</t>
  </si>
  <si>
    <t>Conduct follow-up inspections if air measurements indicate persistent elevated levels, and take enforcement action where appropriate and update the CSC. Oil and Drilling Production Action 1: Reduce Air Pollution Leaks from Oil Wells and Associated Activity at these Facilities 
(6/8) If persistent elevated levels are detected at locations through air measurement activities, conduct follow-up investigations at those locations using appropriate field measurement equipment − Air measurements of active and abandoned oil wells will be prioritized based on proximity to sensitive receptors, repeat violations, or complaints received − If elevated levels are found around abandoned wells, make a referral to DOGGR 
 (7/8) Respond to odor complaints and update complainants on an expedited basis 
 (8/8) Provide CSC with periodic summaries of findings, such as whether odors were confirmed and traced back to a specific site/source, and any enforcement actions taken</t>
  </si>
  <si>
    <t>Conduct follow-up inspections if air measurements indicate persistent elevated levels, and take enforcement action where appropriate and update the CSC</t>
  </si>
  <si>
    <t>Enforcement investigations and monitoring follow-up objectives are ongoing.
 Updates on mobile survey results, including follow-up enforcement objectives, have been provided at the October 2019 Quarter 4, May 2020 Quarter 2, May 2021 Quarter 2, August 2021 Quarter 3, November 2021 Quarter 4, February 2022 Quarter 1, May 2022 Quarter 2, August 2022 Quarter 3, November 2022 Quarter 3, February 2023 Quarter 1, May 2023 Quarter 2, August 2023 Qaurter 3, November 2023 Quarter 4, February 2024 Quarter 1, October 2024 Quarter 4, and and February 2025 Quarter 1 CSC Meetings.</t>
  </si>
  <si>
    <t>Conduct mobile air measurements at refineries to identify potential leaks and if persistent elevated VOC levels are identified then follow up with on-site refinery air monitoring, inspect equipment for compliance with South Coast AQMD rules, and update the CSC quarterly or semiannually Refineries Action 2: Conduct Refinery Air Measurements to Identify and Address VOC Leaks
 Conduct periodic mobile air measurement surveys and FLIR gas imaging in and around refineries 
 Utilize more efficient and effective leak detection systems known as advanced measurement techniques (Smart LDAR), such as Fourier transform infrared spectroscopy (FTIR), Ultraviolet Differential Optical Absorption Spectroscopy (UVDOAS), Solar Occultation Flux (SOF) and infrared cameras, to identify, quantify, and locate VOC leaks in real time, allowing for faster repair in a manner that is less time consuming, labor intensive, and potentially more comprehensive than traditional LDAR</t>
  </si>
  <si>
    <t>Conduct mobile air measurements at refineries to identify potential leaks and if persistent elevated VOC levels are identified then follow up with on-site refinery air monitoring, inspect equipment for compliance with South Coast AQMD rules, and update the CSC quarterly or semiannually</t>
  </si>
  <si>
    <t>South Coast AQMD and/or contractors have been conducting mobile monitoring around all five major refineries in WCWLB community, with updates. Volatile Orangic Compound (VOC) leaks were not detected during mobile monitoring of refineries in 2019-2020. Since 2021, mobile monitoring of refineries were conducted by contractors and South Coast AQMD will analyze the data to link any elevated VOC measurements with compliance records. 
 Updates were provided at August 2019, January 2020 Quarter 1, August 2020 Quarter 3, February 2021 Quarter 1, May 2021 Quarter 2, August 2021 Quarter 3, November 2021 Quarter 4, February 2022 Quarter 1, and February 2023 Quarter 1 CSC Meetings.</t>
  </si>
  <si>
    <t>1)Tree Planting
2) Low Survey Response - CSC Meeting from 06/13/2025
3) 25% completed based on dashboard</t>
  </si>
  <si>
    <t>CERP, CSC Meetings</t>
  </si>
  <si>
    <t>No funding reported in Annual Report 2024</t>
  </si>
  <si>
    <t>No progress to report</t>
  </si>
  <si>
    <t>Shipyards to require portable air compressors on site to be powered by ZEV or Tier 4 engines; Shipyards will continue ongoing actions to reduce emissions from on and oﬀ-road diesel equipment.</t>
  </si>
  <si>
    <t xml:space="preserve">Develop a plan for augmenting APCD role in reaching out to implementing agencies or entities, such
as the Port of San Diego, Cities, or candidates for incentive funding. </t>
  </si>
  <si>
    <t>The plan should define how APCD will promote coordination to increase the number of applications,
offer workshops and technical assistance that will present leverage opportunities, expedite incentives,
and how APCD can play a more proactive role in assisting the San Diego region competing for and
securing state and other incentive funding.</t>
  </si>
  <si>
    <t>Air District, Industry, City</t>
  </si>
  <si>
    <t>SDAPCD
The air quality complaint process has been evaluated and process and tools have been
updated. The new SDAPCD Air Quality Complaints mobile app is available in English and
Spanish for reporting air quality complaints. Members of the public can also call SDAPCD's
complaint line 24/7 at (858) 586-2650, or at apcdcomp@sdapcd.org
Completed in 2023</t>
  </si>
  <si>
    <t>Implement educational plan for Air Pollution Control Board members; Administer a new Oﬃce of Environmental Justice; Develop and implement strategies to integrate environmental justice and equity in agency operations.</t>
  </si>
  <si>
    <t>Educational Plan for AD</t>
  </si>
  <si>
    <t>Support emission reductions opportunities to improve air quality</t>
  </si>
  <si>
    <t xml:space="preserve">General Support </t>
  </si>
  <si>
    <t>Develop protocols and procedures to address major, unplanned incident with air quality impacts; Train staﬀ to implement the incident response plan; Provide the plan in other languages</t>
  </si>
  <si>
    <t>Incident Response Plan</t>
  </si>
  <si>
    <t>Supplemental Environmental Projects</t>
  </si>
  <si>
    <t>SDAPCD established a Supplemental Environmental Project (SEP) Program to use part of
violation fines to fund projects that benefit the community, with a focus on projects in
disadvantaged communities.</t>
  </si>
  <si>
    <t>Develop a plan for augmenting APCD role in reaching out to implementing agencies or entities, such as the Port of San Diego, Cities, or candidates for incentive funding.</t>
  </si>
  <si>
    <t>Health and Human Services Agency</t>
  </si>
  <si>
    <t>San Diego Association of Governance, Air District, Public Health Agency</t>
  </si>
  <si>
    <t>Develop and implement a Public Participation Plan to enhance the eﬀectiveness of the APCD's public outreach and engagement activities in disadvantaged communities and other communities throughout the region.</t>
  </si>
  <si>
    <t xml:space="preserve">Public Participation Plan </t>
  </si>
  <si>
    <t xml:space="preserve">Truck Idling </t>
  </si>
  <si>
    <t>Since the implementation of the CERP, SDAPCD has doubled the number of idling
inspections in the Portside Community by conducting vehicle idling sweeps in the area twice a
week. Also, the District launched a new mobile app, available in English and Spanish, for
reporting of air quality complaints, and has adopted an afterhours program to investigate
air quality complaints.</t>
  </si>
  <si>
    <t>Evaluate the feasibility of utilizing Testo 350 portable emissions analyzers to enforce District requirements as they relate to combustion sources.</t>
  </si>
  <si>
    <t>Combustion Sources</t>
  </si>
  <si>
    <t>Evaluate options in increase APCD presence in the Portside</t>
  </si>
  <si>
    <t>Increased Enforcement</t>
  </si>
  <si>
    <t>Provide Annual Report of Enforcement
 Activities</t>
  </si>
  <si>
    <t>Evaluate options to implement ZE tugboats and ferries in advance of State regulations; Seek opportunities for grant funding to fund projects in advance of regulatory requirements.</t>
  </si>
  <si>
    <t>Shore Power</t>
  </si>
  <si>
    <t>Not included in AD data</t>
  </si>
  <si>
    <t>Tow Boat, Tug Boat, Work Boat</t>
  </si>
  <si>
    <t>CAP Incentives, AD Data</t>
  </si>
  <si>
    <t>Excavators, Forklifts, Rough Terrain Forklifts, Rubber-Tired Loaders</t>
  </si>
  <si>
    <t>Includes construction equipment and forklift replacement</t>
  </si>
  <si>
    <t xml:space="preserve">CAP Incentives, AD Data </t>
  </si>
  <si>
    <t>Public</t>
  </si>
  <si>
    <t xml:space="preserve">Unclear how many chargers are included in each project
The progress spent in the CERP Tracker is $268,738, much lower than what is reported in the CERP Incentives funding </t>
  </si>
  <si>
    <t>South Central Fresno</t>
  </si>
  <si>
    <t>south_central_fresno</t>
  </si>
  <si>
    <t xml:space="preserve">not in cerp </t>
  </si>
  <si>
    <t>Heavy Duty Diesel Vehicles</t>
  </si>
  <si>
    <t>Executed - $1015205	#2
Liquidated - $1434935	#1</t>
  </si>
  <si>
    <t xml:space="preserve">HD.4: Support Planning and Development of Clean Fueling Infratructure: To provide support for planning and development of fueling infrastructure for zero and near-zero emission vehicles to support broader deployment of clean vehicles operating throughout the community. </t>
  </si>
  <si>
    <t xml:space="preserve">To provide support for planning and development of fueling infrastructure for zero and near-zero emission vehicles to support broader deployment of clean vehicles operating throughout the community. </t>
  </si>
  <si>
    <t>$18.4 Million in grants have been used for the program regionwide through Clean Cars 4 All</t>
  </si>
  <si>
    <t>CERP, Annual Report 2024</t>
  </si>
  <si>
    <t xml:space="preserve">2024 Annual Report, AD Data </t>
  </si>
  <si>
    <t>Focus grant opportunities on truck companies, as opposed to individual drivers, to ensure an unfair burden is not placed on the driver.</t>
  </si>
  <si>
    <t>Continue ongoing programs and partnership with SANDAG iCommute to promote and increase participation in alternative transportation.</t>
  </si>
  <si>
    <t>Alternative Transportation</t>
  </si>
  <si>
    <t>Air District, San Diego Association of Governance</t>
  </si>
  <si>
    <t>Demonstration event where ZE equipment can be viewed and tested.</t>
  </si>
  <si>
    <t xml:space="preserve"> The Navy has planned for and is currently committed to more than $20 million dollars in EV infrastructure upgrades at NBSD this year. 
 $59 million grant from the United States Environmental Protection Agency (EPA) for the Port’s San Diego Clean Cargo Project (CCP). An additional $28 million in match funding provided collectively by the Port of San Diego, the San Diego Air Pollution Control District (APCD), Dole, PASHA, Skycharger, and SSA Marine brings the total project cost to $86 million.</t>
  </si>
  <si>
    <t>Industry Training</t>
  </si>
  <si>
    <t>Ship Repair</t>
  </si>
  <si>
    <t>1. Expanded Training &amp; Compliance Efforts to Reduce Emissions
2. Support for Fleet Electrification and Reduced Fuel Use
- Government fleet procurement of electric vehicles reduced fuel consumption by 10% since 2020, cutting CO₂ emissions by 178 metric tons, supporting federal Executive Orders 14008 and 14057.
3. Shore Power and Cleaner Equipment at Naval Bases</t>
  </si>
  <si>
    <t>Port of San Diego
 Consistent with the recently updated Barrio Logan Community Plan adoption, the Port District is advancing a comprehensive update to the Port Master Plan. The Draft Port Master Plan Update (PMPU) contains a ﬁrst ever Environmental Justice Element, as well as other goals and policies. An example of policies related to incompatible land uses is maintaining appropriate separation or buﬀers to mitigate adjacency, while many others are related to ensuring compatible land use development. For more information on the Draft PMPU Environmental Justice Policies, please refer to the Environmental Justice Element beginning on page 139. https: /www.portofsandiego.org/waterfront-development/port- master-plan-update</t>
  </si>
  <si>
    <t>Determine the goals and objectives of the health risk analysis; Based on the goals and objectives develop a work plan; Determine how the planning emission inventories can be utilized to quantify the health risks.</t>
  </si>
  <si>
    <t>Health Risk Analysis</t>
  </si>
  <si>
    <t>Provide Steering Committee support for Barrio Logan Community Plan (BLCP) Update, which proposes commercial land uses and zoning that serve as a buﬀer between industrial uses within the Port and residential uses within the community; Coordinate air quality strategies and goals in the CERP with the BLCP Update; Support adoption of the Port of San Diego Maritime Clean Air Strategy (MCAS); Support Balanced Plan adoption that will ensure implementation for Pepper Park in National City; Support for Westside Speciﬁc Plan (WSP) amortization strategy (WSP strategies 3.</t>
  </si>
  <si>
    <t>Land Use</t>
  </si>
  <si>
    <t>SDAPCD
Since the implementation of the CERP, SDAPCD has doubled the number of idling inspections in the Portside Community by conducting vehicle idling sweeps in the area twice a week. Also, in collaboration with the City of San Diego and CARB, nine “no idling” signs were installed to prevent idling in the Portside community.</t>
  </si>
  <si>
    <t>CARB is committed to enhancing the quality of enforcement data for the Portside Environmental Justice Neighborhoods community.</t>
  </si>
  <si>
    <t>Enforcement Data</t>
  </si>
  <si>
    <t>CARB will develop and oﬀer training opportunities to the Portside Environmental Justice Neighborhoods community.</t>
  </si>
  <si>
    <t>Training Opportunities</t>
  </si>
  <si>
    <t>CARB will seek opportunities to coordinate with other agencies with enforcement authority in Portside Environmental Justice Neighborhoods, including but not limited to the City and San Diego and Port of San Diego.</t>
  </si>
  <si>
    <t>Coordination</t>
  </si>
  <si>
    <t>Not Inlcuded</t>
  </si>
  <si>
    <t>Work with the California Air Resources Board (CARB) to evaluate the feasibility of obtaining authority to enforce additional mobile source regulations including; Marine
 - Commercial Harbor Craft Regulation; On- Road and Cargo Handling - Mobile Cargo Handling Equipment Regulation, Solid Waste Collection Vehicle Regulation, Tractor-Trailer Greenhouse Gas (TTGHG) Regulation; Conduct a cost analysis to evaluate the feasibility of expanding the mobile source program by increasing the number of staﬀ members to conduct additional inspections under the existing MOU.</t>
  </si>
  <si>
    <t>Achieve compliance with the Truck and Bus Regulation via Senate Bill 1</t>
  </si>
  <si>
    <t>CARB staﬀ are committed to updating enforcement strategies as requested by the community steering committee, if those strategies are enforceable by CARB staﬀ or if CARB can reasonably accommodate the request.</t>
  </si>
  <si>
    <t>Updating</t>
  </si>
  <si>
    <t>CARB staﬀ is developing the Advanced Clean Cars II regulations to reduce criteria and greenhouse gas emissions from new light- and medium-duty vehicles and increase the number of zero emission vehicles for sale.</t>
  </si>
  <si>
    <t>Coordinate and conduct inspections of stationary sources with Air District staﬀ.</t>
  </si>
  <si>
    <t>CARB is developing a medium and heavy- duty zero-emission ﬂeet regulation with the goal of achieving a zero-emission truck and bus California ﬂeet by 2045 everywhere feasible.</t>
  </si>
  <si>
    <t>CARB is now exploring the development of a more comprehensive heavy-duty inspection and maintenance program ensuring all vehicle emissions control systems are maintained adequately.</t>
  </si>
  <si>
    <t>Industrial Facilities</t>
  </si>
  <si>
    <t>Evaluate the feasibility of amending Rule 1206 (Asbestos Removal, Renovation, and Demolition) to protect public health; Engage in community outreach on asbestos awareness.</t>
  </si>
  <si>
    <t>Evaluate the feasibility of amending Rules 61.2, 67.18, and 67.0.1 to identify potential measures to reduce emissions from sources regulated by these rules; Evaluate the feasibility of adopting a new rule for commercial charbroiling and deep-frying operations to identify potential measures to reduce emissions from these sources; Evaluate the feasibility of adopting a new rule to control emissions from indirect sources.</t>
  </si>
  <si>
    <t>Propose the amendment of District Rule 1401 to lower the threshold at which facilities must apply for and obtain a Federal Title V Operating Permit.</t>
  </si>
  <si>
    <t>Outside funding</t>
  </si>
  <si>
    <t>Funding from the Port</t>
  </si>
  <si>
    <t>Annual Report 2024</t>
  </si>
  <si>
    <t>City, Industry - Port, CalTrans</t>
  </si>
  <si>
    <t>Over 1,000 trees planted by the City of San Diego
Over 20 trees planted by the AD</t>
  </si>
  <si>
    <t>City, CalTrans, Air District</t>
  </si>
  <si>
    <t>No funding through AD or CARB
Executed 
In June 2023, the California Transportation Commission announced that the Harbor Drive
2.0 project had received $18.5M in grant funding from the Trade Corridor Enhancement
Program (TCEP) program to fund the project design and rights-of-way. The award required a
$2,185,714 match that was funded by the Port at the February 2024 Board Hearing. 
SANDAG and Caltrans were awarded $11 million for Right-ofWay through the Reconnecting Communities and Neighborhood
grant programs for the Harbor Dr 2.0 Port Access Improvements
project.</t>
  </si>
  <si>
    <t>Funding of at least $10 million for over 10 projects
Infrastructure projcts in National City, City of San Diego, Caltrans, Port of San Diego, and SANDAG
Most funding through ATP</t>
  </si>
  <si>
    <t>Develop and implement a Short-haul on- road electric truck pilot program to/from Port tidelands for one or more routes; Develop EV Truck charging needs assessment and strategy to support EV Truck expansion beyond above pilot.</t>
  </si>
  <si>
    <t>Pilot Study</t>
  </si>
  <si>
    <t>Unsure of funding source</t>
  </si>
  <si>
    <t>Unclear funding source. Not included in data provided by the AD or in the CAP Incentives.</t>
  </si>
  <si>
    <t>Stated as funding from AB 617 but not present in AD data or CAP Incentives</t>
  </si>
  <si>
    <t>Community Steering Committee members suggested that the Arvin/Lamont community should be engaged in ongoing agency efforts to address potential impacts from idle, orphaned, and abandoned oil wells in the Arvin/Lamont community. It should be noted that the District has no authority over abandoned well regulation compliance.</t>
  </si>
  <si>
    <t>Oil and Gas Operations</t>
  </si>
  <si>
    <t>-District, California Geologic Energy Management Division, and CARB to present updates on oil and gas operations, enforcement, and next steps during April 2023 CSC meeting</t>
  </si>
  <si>
    <t>The goal of this strategy is to limit the potential for localized air quality impacts associated with fugitive dust from construction/earthmoving activities and open areas subject to District Regulation VIII.</t>
  </si>
  <si>
    <t>-Enhanced inspections ongoing
 Quarterly Enforcement Reports</t>
  </si>
  <si>
    <t>The goal of this strategy is to encourage adoption for low-income individuals of electric bicycles (e-bikes) as a replacement for motor vehicle trips. The strategy would increase access to clean transportation options while reducing vehicles miles traveled by incentivizing e-bikes for the Arvin/Lamont community. Emission reductions from the utilization clean transportation provides benefits to area residents as well as assist in reducing impact from pollution in the Arvin/Lamont community.</t>
  </si>
  <si>
    <t>Electric Bicycles</t>
  </si>
  <si>
    <t>-Sent email to CSC about eBike opportunities to participate in 
 CARB incentives program, CARB to follow up with information on additional funding opportunities 
 -Visit the following link to learn more: CARB eBike Presentation</t>
  </si>
  <si>
    <t>The Arvin/Lamont Community Steering Committee recommended several measures for CERP implementation related to pesticide application and exposure reduction, including expanded monitoring, local notification, notification opportunities through local schools, and mitigation practices such as application buffers within the community.</t>
  </si>
  <si>
    <t>Pesticides</t>
  </si>
  <si>
    <t>-CSC pesticide subcommittee meets with DPR, OEHHA, CARB, Ag Commissioner, and District bimonthly to discuss CERP commitments
 -Presentation during 3/28/2023 subcommittee meeting discussed pesticide monitoring in Arvin/Lamont</t>
  </si>
  <si>
    <t>Residential Air Filtration: During the 8/27/25 meeting, CSC voted to allocate $250,000 from Heavy Duty Truck replacement measure to fund Residential Air Filtration. District working on opening program and will work with CSC on outreach plan</t>
  </si>
  <si>
    <t>-During the 8/27/25 meeting, CSC voted to allocate $250,000 from Heavy Duty Truck replacement measure to fund Residential Air Filtration
-District working on opening program and will work with CSC on outreach plan</t>
  </si>
  <si>
    <t>District working to open the program</t>
  </si>
  <si>
    <t>The goal of this strategy is to limit the potential for localized air quality impacts at permitted facilities that have had emissions violations in the last three years.</t>
  </si>
  <si>
    <t>-Enhanced inspections ongoing
 -Q3 2024 enforcement action summary:19 violation notices issued (2 procedural/administrative, 17 emissions related); 4 notices to comply issued (procedural/administrative)
 Quarterly Enforcement Reports</t>
  </si>
  <si>
    <t>Road and Sidewalk</t>
  </si>
  <si>
    <t>Community Steering Committee members have suggested that a study should be performed to assess the existing heavy-duty diesel truck routes that run through the communities of Arvin and Lamont. The District will work with Caltrans, Kern COG, City of Arvin, Kern County to support ongoing efforts to study truck routes along state highways in the community. The District will work with the appropriate agencies to seek additional funding, as necessary, to support this study.</t>
  </si>
  <si>
    <t>-District coordinating with Kern COG and Caltrans regarding ongoing truck reroute plans</t>
  </si>
  <si>
    <t>Air District, "Community Centers (libraries, senior centers +)"</t>
  </si>
  <si>
    <t>- Published social media posts promoting myRAAN.com 
-Published social media posts emphasizing no burning and where to find wildfire resources 
-Designed Clean Air Centers (CAC) social media graphics to promote CAC locations in the San Joaquin Valley and educate about wildfire safety
-Launched CGYM paid media campaign to help promote Residential Lawn and Garden Measure (including TV commercials, targeted social media, and digital ads - Run Dates: 7/22/24 - 9/30/24)
-Launched Valley-wide Winter educational paid media campaign featuring Governing Board Members in English and Spanish (November 2024-February 2025)
-Distributed Healthy Air Living Kids' Calendars and Art Contest/Scholarship information to agencies in Arvin and Lamont on February 10, 2025
Outreach Event Tracker</t>
  </si>
  <si>
    <t>Healthy Air Living Program</t>
  </si>
  <si>
    <t xml:space="preserve">-District worked with CSC during October 2022 meeting to discuss all outreach strategies
-Notes from CSC input during October 2022 CSC meeting
-Provided two (2) class presentations to students at Lamont Elementary school
-Provided online class presentation for the Arvin Migrant School program
-Planning distribution of 2025 Healthy Air Living Kids' Calendars to schools and businesses in the communities of Arvin/Lamont. </t>
  </si>
  <si>
    <t>Incentives for Agriculture Burning</t>
  </si>
  <si>
    <t>- units measured in acres</t>
  </si>
  <si>
    <t>Agricultural Equipment</t>
  </si>
  <si>
    <t>Air District, Industry - Agriculture</t>
  </si>
  <si>
    <t>Passenger Vehicle</t>
  </si>
  <si>
    <t>Approved 3/2024
Only 1 event hosted so far
Emission Reduction Goal: 4 tons of NOx</t>
  </si>
  <si>
    <t>-District working with local school districts regarding opportunities for funding</t>
  </si>
  <si>
    <t xml:space="preserve">Lawn and Garden Equipment </t>
  </si>
  <si>
    <t>-Project plan approved by CARB on 3/4/2024
-Explore and discuss outreach ideas with the CSC
CERP Tracker indicates $39,601.91 spent, but SJVAPCD confirmed additional funding from Valley Wide funding.</t>
  </si>
  <si>
    <t>CERP Tracker, CAP</t>
  </si>
  <si>
    <t>-Project plan approved by CARB on April 26, 2023
-District to work with CSC to plan mower exchange event during Spring 2024
-Exchanged 185 lawnmowers at Lawnmower Exchange event at Bear Mountain Recreation Center in Lamont on June 6, 2024
-CSC supported reallocating $300K from heavy-duty trucks to residential lawn and garden measure
-Exchanged 282 lawnmowers at Tune-In Tune-Up &amp; Lawn Mower Exchange event at Arvin High School on February 8, 2025</t>
  </si>
  <si>
    <t>The goal of this strategy is to reduce illegal burning of residential waste, such as trash, through outreach and education while focusing on areas of concern identified by the CSC.</t>
  </si>
  <si>
    <t>Residential Burning</t>
  </si>
  <si>
    <t>-District worked with CSC during October 2022 meeting to discuss all outreach strategies
-Notes from CSC input during October 2022 CSC meeting
-Planning Spring/Summer paid media campaign to educate residents that it is illegal to burn trash
-Redesigned Burning Trash is Illegal social media graphics and continued messaging on social media about the harmful effects of burning and to educate residents that it is illegal to burn trash 
-Planning and scheduling outreach events to attend during Fall 2024 to educate residents that it is illegal to burn trash 
-Launched Burning Trash is Illegal Campaign including social media, digital ads, and billboards
-Planning and scheduling outreach events to attend during Fall 2024 to educate residents that it is illegal to burn trash 
Uncertain on whether or not this strategy is complete</t>
  </si>
  <si>
    <t>Waiting to release Request for Proposal, District Reviewing Proposal</t>
  </si>
  <si>
    <t>CERP, Tracker</t>
  </si>
  <si>
    <t>Contracts under review</t>
  </si>
  <si>
    <t>The goal of this strategy is to limit the potential for localized emissions from heavy-duty vehicles for failure to comply with the state’s heavy-duty anti-idling regulation. Historically, the District has partnered with CARB to conduct anti-idling enforcement throughout valley communities.</t>
  </si>
  <si>
    <t>-Enhanced inspections ongoing
 -The District gave a presentation and update to CSC during April 2023 CSC meeting
 Quarterly Enforcement Reports</t>
  </si>
  <si>
    <t>Smog Check</t>
  </si>
  <si>
    <t>Chrome Plating</t>
  </si>
  <si>
    <t>Locomotives / Railyards</t>
  </si>
  <si>
    <t>To provide increased outreach and access to incentive funding for the replacement of older, higher polluting public fleet vehicles operating within the Arvin/Lamont community with new clean vehicle technology.</t>
  </si>
  <si>
    <t>Public Fleet</t>
  </si>
  <si>
    <t>-Project plan approved by CARB on April 21, 2023
 -District Governing Board approved program implementation in August 2023</t>
  </si>
  <si>
    <t>Reallocated to Residential Lawn and Garden Equipment</t>
  </si>
  <si>
    <t>CERP Tracker, CERP</t>
  </si>
  <si>
    <t>Stockton</t>
  </si>
  <si>
    <t>stockton</t>
  </si>
  <si>
    <t>Not included in CAP Incentives 
Check when charging infrastructure project was approved in Stockton, before Nov 2024</t>
  </si>
  <si>
    <t>In CERP, not in CERP tracker</t>
  </si>
  <si>
    <t>Includes tractors and off-road equipment in CAP Incentives, not included in CERP tracker</t>
  </si>
  <si>
    <t>CAP Inventives</t>
  </si>
  <si>
    <t>From CAP Incentives
Executed - $1093956        #1
Liquidated - $30000        #1
From CERP Tracker:
Goal: $375,000 #15 units
Progress: $155,000  #27 Units</t>
  </si>
  <si>
    <t>CAP Incentives 
CERP Tracker</t>
  </si>
  <si>
    <t>The reduction of emissions from diesel engines has been one of the primary elements in obtaining air quality and greenhouse gas reduction goals within California and throughout the nation.</t>
  </si>
  <si>
    <t>Clean Energy Outreach</t>
  </si>
  <si>
    <t>-District to combine efforts with HD.4, Alternative Fuel Station Infrastructure</t>
  </si>
  <si>
    <t>Continued state funding is key to continued progress addressing community level air pollution and completing the work necessary to engage with the community, monitor emissions, and implement community emission reduction strategies.</t>
  </si>
  <si>
    <t>The goal of this strategy is to reduce children’s exposure to unhealthy air by increasing the enrollment of schools in the Healthy Air Living (HAL) Schools program.</t>
  </si>
  <si>
    <t>Healthy Air Living</t>
  </si>
  <si>
    <t>The purpose of this strategy is to increase awareness about publically available tools and documents through the City of Fresno’s website, and to train community members on how to access and use these tools.</t>
  </si>
  <si>
    <t>Land Use Outreach</t>
  </si>
  <si>
    <t>Incentive program for weatherization and energy efficiency. This strategy would provide increased outreach and access to incentive funding for low-income residents in South Central Fresno to receive weatherization services. Fresno EOC has committed to host a meeting in the South Central Fresno community where residents can learn about available funding for weatherization services and fill out the appropriate forms and applications.</t>
  </si>
  <si>
    <t>Weatherization Outreach</t>
  </si>
  <si>
    <t>Community Education</t>
  </si>
  <si>
    <r>
      <rPr>
        <rFont val="Calibri"/>
        <color theme="1"/>
        <sz val="12.0"/>
      </rPr>
      <t xml:space="preserve">CARB is committed to enhancing the quality of enforcement data for the South Central Fresno community. Moving forward, CARB will maintain the location of enforcement activity and received complaints to provide the community steering committee with the most accurate data available. CARB has recently completed a visualization tool that makes CARB enforcement data more transparent and available. The tool can be accessed online by visiting
</t>
    </r>
    <r>
      <rPr>
        <rFont val="Calibri"/>
        <color rgb="FF1155CC"/>
        <sz val="12.0"/>
        <u/>
      </rPr>
      <t>https://webmaps.arb.ca.gov/edvs/.</t>
    </r>
  </si>
  <si>
    <r>
      <rPr>
        <rFont val="Calibri"/>
        <color theme="1"/>
        <sz val="12.0"/>
      </rPr>
      <t xml:space="preserve">CARB is committed to enhancing the quality of enforcement data for the South Central Fresno community. Moving forward, CARB will maintain the location of enforcement activity and received complaints to provide the community steering committee with the most accurate data available. CARB has recently completed a visualization tool that makes CARB enforcement data more transparent and available. The tool can be accessed online by visiting
</t>
    </r>
    <r>
      <rPr>
        <rFont val="Calibri"/>
        <color rgb="FF1155CC"/>
        <sz val="12.0"/>
        <u/>
      </rPr>
      <t>https://webmaps.arb.ca.gov/edvs/.</t>
    </r>
  </si>
  <si>
    <t>-Subcommittee met 8/2/22
-Regulatory and Enforcement subcommittee met to discuss and address enforcement and idling concerns
Drafting Project Plan with Subcommittee</t>
  </si>
  <si>
    <t>School Districts</t>
  </si>
  <si>
    <t>Not applicable</t>
  </si>
  <si>
    <t>No longer includes funding
The District has coordinated with the City and County of Fresno to present &amp; discuss implementation of the measure. The District has received a list of improvement projects within the Community.
Links:
Map of SB1 funded projects</t>
  </si>
  <si>
    <t xml:space="preserve">No longer includes funding
Street sweeping map has been provided by the City
</t>
  </si>
  <si>
    <t>-Subcommittee formed &amp; City of Fresno drafted RFP
-Waiting for city to provide updated draft language on RFP
-City of Fresno working with contractor to complete Truck Reroute and Health Study, and plans to take recommendations for City Council approval in Summer 2024
-In September 2024, City of Fresno brought findings of Truck Reroute and Health Study to City Council to review
Link:
City of Fresno update presentation
Project Plan
CAP Incentives reports $375836.93 spent</t>
  </si>
  <si>
    <t xml:space="preserve">Commitment:  
4 community meetings 
 1 targeted social media campaign
 4 community spaces for posted AQ info	
Progress: 
1 targeted social media campaign
 4 community meetings
-Continued posting social media posts emphasizing no burning and where to find wildfire resources
-Investigating text based messaging to connect with community
-Designed Clean Air Centers (CAC) social media graphics to promote CAC locations in the San Joaquin Valley and educate about wildfire safety
-Scheduling outreach events to attend at schools and in the community to educate residents about air quality and District grants and resources
-Designed and published new brochure "Types of Burning in the Valley" in English and Spanish to educate residents about the different types of burning
-Designed new bilingual "File an Air Pollution Complaint" magnet and flyer to remind residents of the various ways to submit a complaint
-Launched Valley-wide Winter educational paid media campaign featuring Governing Board Members in English and Spanish (November 2024-February 2025) 
-Distributed HAL Kids' Calendars, Calendar Art Contest information, and Entry Forms to schools and agencies in the community
-Began posting to District social media platforms, promoting HAL Kids' Calendar Art Contest
</t>
  </si>
  <si>
    <t>The goal of this strategy is to reduce NOx and PM2.5 emissions in the community from stationary source operations through the installation of advanced controls.</t>
  </si>
  <si>
    <t>Advanced Controls</t>
  </si>
  <si>
    <t>-Evaluating potential advanced control technologies with CSC for providing incentives to businesses in boundary</t>
  </si>
  <si>
    <t>The goal of this strategy is to provide incentives to Chrome Plating operations to further reduce emissions of chromium, using new state funding guidelines for chrome plating facilities switching to trivalent chrome or controlling emissions beyond existing rule requirement levels, and beyond applicable BACT and BARCT requirements.</t>
  </si>
  <si>
    <t>-Identified potential reduction opportunities of chromium emissions from the installation of control technologies
 -Chrome plating operations in community contacted and expressed interest in potentially installing additional controls with incentives.</t>
  </si>
  <si>
    <t>2021-2024</t>
  </si>
  <si>
    <t>Commitment: 
4 community meetings 
 1 targeted social media campaign
Progress:
4 community meetings 
1 targeted social media campaign
-Continued sharing the District's annual report, program brochures and Fresno AB 617 flyers at outreach events and encourage residents to learn more about the ongoing air quality efforts in the Valley</t>
  </si>
  <si>
    <t>IS.5: Pilot training program for condusting self-inspections at gas stations: The goal of this strategy is to limit the potential for air quality impacts associated with vapor recovery defects at gasoline dispensing stations in the South Central Fresno community.</t>
  </si>
  <si>
    <t>: The goal of this strategy is to limit the potential for air quality impacts associated with vapor recovery defects at gasoline dispensing stations in the South Central Fresno community.</t>
  </si>
  <si>
    <t>Gas Stations</t>
  </si>
  <si>
    <t>CERP
CERP Tracker</t>
  </si>
  <si>
    <t>Fugitive Dust Requirement</t>
  </si>
  <si>
    <t>Goal:
Targeted enforcement during 2nd &amp; 3rd quarters        
Progress: 
During Second Quarter 2024:
24 sites inspected</t>
  </si>
  <si>
    <t xml:space="preserve">CERP Tracker </t>
  </si>
  <si>
    <t xml:space="preserve">-15 public complaints responded to
-2 violations documented
-Enhanced surveillance ongoing
-6 public complaints responded to
-No violations confirmed 
Commitment: targeted surveillanc each quater
Progress: during second quarter 2024; 10hrs of surveillance </t>
  </si>
  <si>
    <t>Goal: 
2 inspections per calendar year for 5 years or until 4 consecutive inspections with no violation
Progress: 
Reviewed the enforcement history of permitted facilities in this community and, as applicable, changed inspection frequency to 6 months
-95 total stationary source inspections
-14 violations found - 4 were emissions related 
During Second Quarter 2024:
109 permitted source inspections</t>
  </si>
  <si>
    <t>Wood Burning</t>
  </si>
  <si>
    <t>-3 public complaints responded to
-17 violations documented
-No public complaints or enforcement during this quarter
Commitment: 4 hours of surveillance each curtailment day
Progress: During Second Quarter 2024 - 170 hours surveillance</t>
  </si>
  <si>
    <t>Heavy Duty Vehicles</t>
  </si>
  <si>
    <t>Medium and Heavy Duty Vehicles</t>
  </si>
  <si>
    <t>Update</t>
  </si>
  <si>
    <t>Goal:
Targeted surveillance each quarter	
Progress:
During Second Quarter 2024:
20 hours of surveillance</t>
  </si>
  <si>
    <t>D24 Enhanced Enforcement of Statewide Anti-Idling Regulation
-Visited locations identified by CSC &amp; CARB to have a history of high idling activity
-District met with businesses of concern to discuss the state idling regulation &amp; to look for opportunities to reduce idling
-No violations of CARB's anti-idling regulation cited
-No public complaints of idling diesel trucks received
-No violations of CARB's anti-idling regulation cited during District enforcment
Targeted surveillance each quarter --&gt; 20hrs quarter 2024</t>
  </si>
  <si>
    <t xml:space="preserve">-Outreach Notes: Multilingual radio campaign starting in March 2022
-Outreach Notes: Grantee TV ads started fall 2023 to highlight grant programs
-Outreach Notes: Sharing info at the World Ag Exp 2024 about ag burn phase out and grant info
Units measured in acres </t>
  </si>
  <si>
    <t>While the District and the City of Fresno have committed to extensive interagency cooperation and action in this South Central Fresno Community Emission
 Reduction Program, additional opportunities may present themselves in future
 discussions involving the Community Steering Committee, the public, the City, the
 County, and the District, especially as implementation of the CERP progresses</t>
  </si>
  <si>
    <t>Air District, City</t>
  </si>
  <si>
    <t>-Land-use subcommittee, District, and CSC met over several meetings since 2021 to reach agreement on administrative mechanism language
 -Among many suggested changes to the City of Fresno proposed language, land-use subcommittee members expressed during the June 2022 subcommittee meeting they were not in support of an alternative to an official MOU, such as a letter
 -City of Fresno confirmed June 2022 meeting they were not pursuing an MOU
 -City affirmed commitment to continue collaborating with the District during monthly coordination meetings and updating CSC on projects in the AB 617 boundary accordingly</t>
  </si>
  <si>
    <t>Specific measures were suggested by Committee members regarding
 reducing community exposure to pesticides, including banning untarped applications of
 1,3-D, reducing the 1,3-D township cap, implementing a notification system to alert
 residents prior to pesticide applications, banning aerial application of pesticides, and
 establishing buffer zones where pesticide application is banned near sensitive receptor
 locations.</t>
  </si>
  <si>
    <t>Notifications</t>
  </si>
  <si>
    <t>Air District, DPR</t>
  </si>
  <si>
    <t>-DPR developed 1-3D mitigation state-wide regulatory effort
 -DPR to finalize statewide notification system by 2024
 -CSC invited to Pesticide Subcommittee Meeting on 3/11 to learn how to sign up for statewide notification system, SprayDays</t>
  </si>
  <si>
    <t>Approved 3/2024
Only 2 events hosted so far
Emission Reduction Goal: 11.6 tons of NOx</t>
  </si>
  <si>
    <t>-Fresno Unified School District and Central Unified School District have identified buses that operate within the community to be replaced with electric buses 
-Contracts executed with Fresno Unified School District to replace 6 buses with electric buses
-District offered contracts to Central Unified School District to replace 7 buses with electric buses, contracts successfully executed
-Program being promoted in the District's Healthy Air Living Schools e-newsletter for August 2024, which goes out to Valley schools and school districts
13 units PLUS 8 buses Fowler Unified</t>
  </si>
  <si>
    <t xml:space="preserve">Turned from incentive program to outreach
Commitment: 1 meeting with CSC
Progress: 2 CSC meeting with project partners 
-Have requested Grid Alternatives, the CPUC, &amp; Fresno EOC to present information to the CSC at future meeting
</t>
  </si>
  <si>
    <t>The purpose of this strategy is to provide assistance during the California
 Environmental Quality Act (CEQA) process with guidance to land use agencies, project
 proponents, and the public on how the project may impact air quality in the San Joaquin
 Valley, and information on how air pollution impacts can be reduced.</t>
  </si>
  <si>
    <t>New Development: Provide assistance during the CEQA process</t>
  </si>
  <si>
    <t>CEQA Process</t>
  </si>
  <si>
    <t>-Developed language for CEQA commenting letters to draw attention to project-relevant community measures
 -Participated in City's General Plan process
 -Commented on the South Central Fresno Specific Plan
 -Formal District comments were submitted to the City on 10/16/2020 regarding the Southwest Fresno Specific Plan addendum, amendment application, and rezone application. Comments were resubmit to the Planning Commission for consideration during their June 2nd meeting
 -Recurring monthly meetings scheduled with the City of Fresno, Planning Department, to enhance communication of project timelines
 -Land-use subcommittee, District, and CSC met over several meetings since 2021 to reach agreement on administrative mechanism language
 -Among many suggested changes to the City of Fresno proposed language, land-use subcommittee members expressed during the June 2022 subcommittee meeting they were not in support of an alternative to an official MOU, such as a letter
 -City of Fresno confirmed June 2022 meeting they were not pursuing an MOU
 -City affirmed commitment to continue collaborating with the District during monthly coordination meetings and updating CSC on projects in the AB 617 boundary accordingly
 Link:
 -City of Fresno South Central Fresno Specific Plan environmental review process.</t>
  </si>
  <si>
    <t>This strategy consists of a two-phase process to evaluate California’s current emission reduction requirements for commercial cooking operations, and if necessary, make improvements to achieve additional reductions. Commercial Cooking Suggested Control Measure - This strategy consists of a two-phase process to evaluate California’s current emission reduction requirements for commercial cooking operations that prepare food for human consumption, and if necessary, make improvements to achieve additional reductions in particulate matter 10 microns or less in diameter (PM10), particulate matter 2.5 microns or less in diameter (PM2.5) and volatile organic compound emissions that contribute to ozone formation.</t>
  </si>
  <si>
    <t>New measure approved by CSC</t>
  </si>
  <si>
    <t xml:space="preserve">The goal of this strategy is reduce PM2.5 emissions from underfired charbroilers. </t>
  </si>
  <si>
    <t>Charbroilers</t>
  </si>
  <si>
    <t>CSC Supports Decision to Not Pursue Measure
-Continuing outreach to solicit interest in program
 -Ongoing targeted outreach to community restaurants to take advantage of the program
 -Will be working with restaurant stakeholder group to assess best practices for program
 -Working with city and county to develop model ordinance
 -During October meeting, CSC supported reallocating funds from charbroilers to urban greening measure</t>
  </si>
  <si>
    <t>Seek MOU or other mechanism to work closely with City of Fresno</t>
  </si>
  <si>
    <t>City of Fresno</t>
  </si>
  <si>
    <t>*Highest priority of the CSC*
 -Land-use subcommittee, District, and CSC met over several meetings since 2021 to reach agreement on administrative mechanism language
 -Among many suggested changes to the City of Fresno proposed language, land-use subcommittee members expressed during the June 2022 subcommittee meeting they were not in support of an alternative to an official MOU, such as a letter
 -City of Fresno confirmed June 2022 meeting they were not pursuing an MOU
 -City affirmed commitment to continue collaborating with the District during monthly coordination meetings and updating CSC on projects in the AB 617 boundary accordingly</t>
  </si>
  <si>
    <t xml:space="preserve">-CSC voted to move $500,000 from locomotive to residential wood burning during June 2022 CSC meeting
-District Governing Board approved increase from $3,000 per device for natural gas, to $4,150, and from $4,000 for electric heat pump to $5,000
-Fireplace Change-Out Show &amp; Tell event held March 2023 at Malaga Community Rec Center
-Launched Valley-wide Winter educational paid media campaign featuring Governing Board Members in English and Spanish (November 2024-February 2025)
-Redesigned Fireplace &amp; Woodstove Changeout Program graphics for social media. (Launched at the end of October)
-Redesigned Residential Woodsmoke Reduction Season graphics for social. (Launched at the end of October) </t>
  </si>
  <si>
    <t xml:space="preserve">-Ongoing announcements on District's social media
-Soliciting large educational institutions and employers in the Valley to convert their existing equipment
-Several Zero-Emission Landscaping Equipment (ZELE) events in the community to help landscapers learn more about the program and test electric landscape equipment
</t>
  </si>
  <si>
    <t xml:space="preserve">-District held second in-person event in October 2022 and exchanged over 200 mowers
-Shared program info &amp; flyer at outreach events and school events in the boundary
-During the 5/8/2024 meeting, CSC discussed moving $300,000 into measure to fund more trade-in events
-AB 617 Tune-In Tune-Up &amp; Lawn Mower Exchange event was held on Saturday, 11/23/24, at the Fresno County Fairgrounds, 1121 S. Chance Ave.
</t>
  </si>
  <si>
    <t>Electric Vehicle Mechanic Job Training</t>
  </si>
  <si>
    <t xml:space="preserve">The goal of this strategy is to evaluate the District’s existing regulations to determine if they meet state requirements for Best Available Retrofit Control Technologies (BARCT), for all rules subject to the state’s greenhouse gas Cap and Trade program, on the expedited schedule approved by the Board in December 2018. </t>
  </si>
  <si>
    <t>Stationary Source</t>
  </si>
  <si>
    <t>-As a result of BARCT analysis conducted in 2019 and 2020, 5 District rules (Rules 4401, 4409, 4455, 4623, and 4624) are being further evaluated for potential amendment in 2021
 -District held a public workshop on April 20, 2021 to present results of latest BARCT analysis
 -Workshop notice was sent to steering committees to encourage their participation
 -Public workshop held on October 7, 2021 regarding potential amendments to Rules 4401, 4409, 4455, 4623, and 4624 as a result of the ongoing BARCT analysis
 -Rule evaluations continuing in 2021 per District’s expedited BARCT schedule
 -District Governing Board adopted amendments to Rules 4401, 4409, 4455, 4623, and 4624 at June 15, 2023 meeting. Ongoing rule analysis being conducted for Rule 4402.
 Link:
 Ongoing evaluation of BARCT requirements. See evaluation schedule here.</t>
  </si>
  <si>
    <t>This strategy will expedite the review of stationary sources of pollution in the community that are currently being reassessed under the Air Toxics "Hot Spots" Information and Assessment Act (AB 2588), which requires facilities that emit toxic air contaminants to report the types and quantities of toxic substances their facilities routinely release into the air.</t>
  </si>
  <si>
    <t>AB 2588</t>
  </si>
  <si>
    <t>-352 facilities have been processed under Hot Spots. The remaining facility reassessments consist of one facility which is in the process of performing a Health Risk Assessment and currently being evaluated under the District’s Air Toxics “Hot Spots” program. 
 Link:
 Summary of Expedited Facility Risk Assessment and Risk Reduction under District Implementation of AB 2588</t>
  </si>
  <si>
    <t>In addition to the BARCT implementation schedule above, the District will be
 analyzing and amending eight District rules to pursue additional emission reduction
 opportunities beyond BARCT.</t>
  </si>
  <si>
    <t>-In Dec. 2020, District Governing Board adopted amendments to rules for flares and for large, industrial boilers, steam generators, and process heaters (impacts multiple facilities in community)
 -Further control requirements for Internal Combustion engines used at industrial and agricultural operations adopted by District Governing Board in August 2021
 -Further control requirements for glass melting furnaces and solid fuel fired boilers, steam generators, and process heaters adopted by District Governing Board in December 2021.
 -Notices of opportunities for public comment on these rulemakings, including public workshops, will continue to be sent to CSC
 Link:
 Ongoing evaluation of several rules in 2020 &amp; 2021. See detailed updates here.</t>
  </si>
  <si>
    <t xml:space="preserve">-Continued posting to social media platforms promoting "Burning Trash is Illegal" and continued messaging about the harmful effects of burning to educate residents that it is illegal to burn trash
-Completed outreach for Fall 2024 at several Fresno schools within the AB 617 boundary during school drop off and dismissal times and at fall events to share info on various District programs like illegal burning.
-Redesigned "Burning Trash is Illegal" social media graphics and continued messaging on social media about the harmful effects of burning and to educate residents that it is illegal to burn trash 
-Designed and published new brochure "Types of Burning in the Valley" in English and Spanish to educate residents about the different types of burning
-Designed new bilingual "File an Air Pollution Complaint" magnet and flyer to remind residents of the various ways to submit a complaint
-Continued posting to Facebook Groups and Nextdoor to educate the public about the harmful effects of burning and to educate residents that it is illegal to burn trash 
-Launched Valley-wide Winter educational paid media campaign featuring Governing Board Members in English and Spanish (November 2024-February 2025)
-Launched Fireplace &amp; Woodstove Changeout Program paid media campaign in English and Spanish (November 2024-February 2025)
-Redesigned Fireplace &amp; Woodstove Changeout Program graphics for social media. (Launched end of October 2024)
-Redesigned Residential Woodsmoke Reduction season graphics for social. (Launched end of October 2024) 
Commitment: 5 workshops
 4 billboards
 3 bus shelters/kiosks
 2 buses 
 2 postcard mailers
TOTAL: 16 
Progress: 1 billboard; 1 mailer
TOTAL: 2
units is measured in number of types of outreach done (based on the total values) </t>
  </si>
  <si>
    <t xml:space="preserve">Freight facilities </t>
  </si>
  <si>
    <t>Diesel trucks</t>
  </si>
  <si>
    <t>Drayage Trucks</t>
  </si>
  <si>
    <t>Composite Wood Products</t>
  </si>
  <si>
    <t>During October meeting, CSC supported reallocating funds from charbroilers to urban greening measure</t>
  </si>
  <si>
    <t>Commitment: $1.5 million District Funding
10% match to state funding
Total state and District funding $15 million
Progress: 1 Meeting with project partners
-Solar measure discussed during Aug 2020 CSC Meeting with CPUC, Grid Alternatives, and Community Action Partnership of Kern (CAPK)
-Worked with CPUC, Grid Alternatives, CAPK on the outreach postcard and disseminated during community events
ON HOLD</t>
  </si>
  <si>
    <t>Irrigation Pump Engines</t>
  </si>
  <si>
    <t xml:space="preserve">CERP Tracker reports $58,250 progress. Additional funding is reported in the CAP database. 
Clarified with the SJVAPCD that this includes Valley Wide funding </t>
  </si>
  <si>
    <t xml:space="preserve">CERP Tracker, CAP </t>
  </si>
  <si>
    <t>Nut Harvester</t>
  </si>
  <si>
    <t xml:space="preserve">CERP Tracker reports $250,000, additional funding is reported in the CAP database. 
Clarified with the SJVAPCD that this includes Valley Wide funding </t>
  </si>
  <si>
    <t>The goal of this strategy is to reduce the impact of pollution from motor vehicles by encouraging bicycle use and reducing vehicle miles travelled in and around the City of Shafter by expanding the network of bicycle paths.</t>
  </si>
  <si>
    <t xml:space="preserve">Bike Lanes </t>
  </si>
  <si>
    <t>-Ongoing discussion with the City of Shafter and Kern County on potential projects and available incentive funding. 
 -Funding for joint bike lane and sidewalk project on Highway 43 through other incentives measures
 -In April 2024, District Governing Board approved CSC recommended bike lane project with City of Shafter</t>
  </si>
  <si>
    <t>The goal of this strategy is to identify opportunities to reduce dust from paved and unpaved roads in the community through increased frequency of street sweeping.</t>
  </si>
  <si>
    <t>A street sweeping map was provided by the City of Shafter, illustrating the rotating scheduling of areas in the city over the course of a month. On average, all areas are swept twice per month.
 Link:
 City of Shafter Street Sweeping Map</t>
  </si>
  <si>
    <t>The goal of this strategy is to further reduce the potential for localized fugitive particulate matter (PM) emissions associated with on-field agricultural practices.</t>
  </si>
  <si>
    <t>Agriculture</t>
  </si>
  <si>
    <t>-Worked with the agricultural representatives and the Kern County Farm Bureau to invite area farmers to discuss the District's Conservation Management Plan program</t>
  </si>
  <si>
    <t>The District will work with stakeholders and organizations, such as the California Department of Food and Agriculture (CDFA), Natural Resources Conservation Service (NRCS) and the California Dairy Quality Assurance Program (CDQAP), to examine the potential and feasibility of various alternative manure management practices to reduce emissions and to promote these practices at dairies near the community of Shafter.</t>
  </si>
  <si>
    <t>Dairy Farms</t>
  </si>
  <si>
    <t>-Held meeting with technical lead staff for the CDFA Alternative Manure Management Program Aug 2020
 -Staff will continue to coordinate with CDFA to conduct outreach to dairies near the community
 -Will work with CDFA to schedule public workshop in the community once new CDFA grant cycle begins</t>
  </si>
  <si>
    <t>Continued state funding is key to continued progress addressing community level air pollution and completing the work necessary to engage with the community, monitor emissions, and implement community emission reduction strategies</t>
  </si>
  <si>
    <t>Continued state funding is key to continued progress addressing community
 level air pollution and completing the work necessary to engage with the community,
 monitor emissions, and implement community emission reduction strategies</t>
  </si>
  <si>
    <t>CSC meetings to discuss continued state funding and ongoing advocacy</t>
  </si>
  <si>
    <t>The goal of this strategy is to reduce the impact of and exposure to air pollution on residents within their homes.</t>
  </si>
  <si>
    <t>Weatherization</t>
  </si>
  <si>
    <t>Presentation and materials distributed to community in 2020</t>
  </si>
  <si>
    <t>HAL</t>
  </si>
  <si>
    <t>10 sets of No Idling Signs placed at schools in boundary
-Planning meetings with school principals and/or administration to secure opportunities to participate in school activities and educational opportunities in the Spring 2025 (including air quality displays)
 -Continued communicating with Shafter school principals and/or administration through quarterly HAL Schools emails, reminding them of the resources available to them
 -Distributed HAL Kids' Calendars, Calendar Art Contest information, and Entry Forms to schools and agencies in the community
 Link: 
 District Outreach Measures Presentation and Feedback</t>
  </si>
  <si>
    <t>The goal of this strategy is to limit the potential for localized PM2.5 and toxic air quality impacts associated with the failure to comply with the state’s heavy duty antiidling regulation.</t>
  </si>
  <si>
    <t xml:space="preserve">-Visited locations identified by CSC &amp; CARB to have a history of high idling activity
 -District met with businesses of concern to discuss the state idling regulation &amp; to look for opportunities to reduce idling
 </t>
  </si>
  <si>
    <t>1. Major Investment in Clean Energy Infrastructure at the Port
The California Transportation Commission approved $42 million for the Green Micro-Grid Project, which will dramatically expand the Port’s ability to support electric vehicles—from 50 to around 1,000—modernize grid connections, and deliver community benefits like backup power and improved air quality.
2. $119 Million Awarded for Terminal Modernization and Zero-Emission Equipment
Through the Port Freight Infrastructure Program (PFIP), the Port received $119 million to upgrade maritime facilities, electrify cargo handling equipment, and modernize roadways—across four major improvement segments including wharf infrastructure and outer harbor terminals.
3. Ongoing Community Partnership to Guide Zero-Emissions Transition
In May 2023, the Port and the West Oakland Sustainable Port Collaborative formalized a partnership to coordinate planning and grant efforts for electrification and community environmental benefits. They now meet monthly as the Port Community Electrification and Zero Emissions Committee.</t>
  </si>
  <si>
    <t>WOCAP Tracker, BAAD</t>
  </si>
  <si>
    <t>Executed
1. The Air Dsitrict has an open solicitation for equipment replacement projects that opened in November 2023.  Staff have been meeting reguraly with CARB and other air districts to provide input and suggested updates to the State’s CMP and CAP Incentives program guidelines to better meet the needs of communities and air districts and increase effectiveness of programs that can incentivize the switch to zero-emission technologies. 
2. Continue to provide incentive information to operators in West Oakland and at the Port of Oakland through workshops and meetings.  (Q1 2024)</t>
  </si>
  <si>
    <t>WOCAP Tracker
CAP Incentives
BAAD</t>
  </si>
  <si>
    <t>The goal of this strategy is to reduce NOx and PM2.5 emissions from stationary source operations through the installation of advanced controls.</t>
  </si>
  <si>
    <t>No CSC identified projects
The District has identified potential emission reduction opportunities from the installation of advanced control technologies and will continue to evaluate the feasibility of funding and continue to identify available grant funding to assist implementation</t>
  </si>
  <si>
    <t>Other Infrastructure - Executed $1500000 #1
Paving Projects Program - Calexico, Heber, El Centro Corridor - Executed $606570.84 #1
In CERP Tracker - $3,375,000
Executed contracts with City and County</t>
  </si>
  <si>
    <t xml:space="preserve"> Several freight and heavy-duty truck route studies are underway in the area
-Kern Council of Governments provided update during April 2022 meeting 
-Caltrans to provide update during October 2022 meeting
Goal: 
Traffic routing evaluation committed by the City as part of General Plan
Progress:
City, County, and Caltrans provide regular opportunity for CSC to be involved with traffic and freight studies</t>
  </si>
  <si>
    <t>The goal of this strategy is to reduce emissions from High Speed Rail (HSR) construction equipment operating within the 7-mile radius to reduce the impact of 
 pollution on area residents.</t>
  </si>
  <si>
    <t>High Speed Rail Construction</t>
  </si>
  <si>
    <t>Air District, CalTrans</t>
  </si>
  <si>
    <t>-District discussed HSR project located in community with the Authority to advocate for clean construction equipment use onsite. 
 District communicates any concerns received with the Authority.</t>
  </si>
  <si>
    <t>The purpose of this strategy is to provide assistance during the California Environmental Quality Act (CEQA) process with guidance to land use agencies, project proponents, and the public on how the project may impact air quality in the San Joaquin Valley, and information on how air pollution impacts can be reduced.</t>
  </si>
  <si>
    <t>1 City Meeting with Shafter
-District coordinating with land use agencies to discuss projects with the land use agencies and project proponents
 -As of 2/13/25, the District has received 14 CEQA request for comments for a project located in 617 Shafter area</t>
  </si>
  <si>
    <t xml:space="preserve">Commitment:
4 community meetings
1 targeted social media campaign
3 community spaces for posted AQ info        
Progress: 1 targeted social media campaign
-Continued posting to District social media platforms promoting AirNow.gov
-Continued posting to District social media platforms emphasizing no burning and where to find wildfire resources 
-Planning outreach events to attend in Shafter during Spring 2025 to educate residents about wildfire resources
-Continued posting to District social media platforms promoting Clean Air Centers (CAC) on social media to educate about wildfire safety
-Launched Valley-wide Winter educational paid media campaign featuring Governing Board Members in English and Spanish (November 2024-February 2025) 
 </t>
  </si>
  <si>
    <t>The purpose of this strategy is to reduce vehicle miles traveled (VMT) in the
 community through measures that promote active transport and increase the walkability
 of community neighborhoods.</t>
  </si>
  <si>
    <t>1 City Meeting with Shafter
Link:
 Letter of Support for Mexican Colony CMAQ project</t>
  </si>
  <si>
    <t>The District has forwarded all pesticide-related emission reduction strategy suggestions to DPR and CARB, and has received a commitment from DPR to implement specific measures to reduce community exposure to pesticides,</t>
  </si>
  <si>
    <t>Pesticide</t>
  </si>
  <si>
    <t>DPR attending all CSC meetings and developing notification and monitoring program in Shafter
-Shafter included in DPR pesticide reduction pilot for 1, 3-D beginning in Sept 2020, for 1 yr.
 -DPR and CARB convened a CSC subcommittee in September 2020 and plan to regularly work with the CSC on implementing these measures.
 -CSC invited to Pesticide Subcommittee Meeting on 3/11 to learn how to sign up for statewide notification system, SprayDays
 Link:
 DPR Updated on the Mitigation of 1,3- Dichloropropene and Pilot Studies</t>
  </si>
  <si>
    <t>Commitment: 
4 community meetings
1 targeted social media campaign
Progress: 1 targeted social media campaign
-Continued posting to District social media platforms promoting the Fireplace and Woodstove Change-Out, Clean Green Yard Machines, Tune In Tune Up, Zero-Emission Landscaping Equipment, and Clean Air Rooms Programs and other AB 617 work in Shafter
-Continued promotion of Clean Air Rooms Program in Facebook groups
-Began posting to District social media platforms, promoting HAL Kids' Calendar Art Contest</t>
  </si>
  <si>
    <t>The goal of this strategy is to reduce the impact of PM2.5 pollution associated with residential wood burning.</t>
  </si>
  <si>
    <t>1 workshop
 Annual CSC meeting focused on wood burning, including incentives opportunities
-Continued Valley-wide Winter educational paid media campaign featuring Governing Board Members in English and Spanish (November 2024-February 2025)
 -Continued Fireplace &amp; Woodstove Changeout Program paid media campaign in English and Spanish (November 2024-February 2025)
 -Redesigned Fireplace &amp; Woodstove Changeout Program graphics for social media. (Launched end of October 2024)
 -Redesigned Residential Woodsmoke Reduction Season graphics for social. (Launched end of October 2024) 
 -Designed new brochure "Types of Burning in the Valley" in English and Spanish to educate residents about the different types of wood burning
 -Designed new bilingual "File an Air Pollution Complaint" magnet and flyer to remind residents of the various ways to submit a complaint 
 -Continued posting to Facebook Groups and Nextdoor to educate the public about the harmful impacts of woodburning
 Link:
 District Outreach Measures Presentation and Feedback</t>
  </si>
  <si>
    <t xml:space="preserve">         
-Enhanced surveillance ongoing
During Reporting Period (2024 Q4):
- 3 violation notices issued</t>
  </si>
  <si>
    <t>-2019/20, 20/21, 21/22, 22/23, 23/24 Seasons (Nov – Feb):
-The District conducted 4 hours of surveillance in this community on each “No Burning Unless Registered” and No Burning for All” day.
During Reporting Period (2024 Q4):
98.7 hours surveillance</t>
  </si>
  <si>
    <t>Increased Enforcemet</t>
  </si>
  <si>
    <t>incrased enforcement for gas stations, anti idling, wood burning, residential burning</t>
  </si>
  <si>
    <t>New CERP Measure</t>
  </si>
  <si>
    <t>Tractor</t>
  </si>
  <si>
    <t>Railcar Movers/ Switchers</t>
  </si>
  <si>
    <t>4100000, $1,400,000.00</t>
  </si>
  <si>
    <t>CSC supports reallocating funds</t>
  </si>
  <si>
    <t>Some Steering Committee members suggested that no new oil wells be drilled within 2,500 feet of residents, schools and all environmental sensitive locations.</t>
  </si>
  <si>
    <t xml:space="preserve">Oil Drilling </t>
  </si>
  <si>
    <t>CalGEM statewide setback regulations in development
-Reviewed EIR &amp; related health risk assessments study of County's oil and gas production ordinance
 -Will continue to ensure that projects do not result in significant impact on the health of residents, including sensitive receptors
 -City of Shafter has committed to reviewing the EIR and health studies prepared by the County for its oil and gas production ordinance</t>
  </si>
  <si>
    <t>The goal of this strategy is to reduce NOx emissions from flares. District Rule 4311 (Flares) already contains stringent requirements for flares.</t>
  </si>
  <si>
    <t>District Rule 4311</t>
  </si>
  <si>
    <t>-District Rule 4311 (Flares) was amended 12/17/20
 Link:
 December 17, 2020, Public Hearing</t>
  </si>
  <si>
    <t>Hydrogen</t>
  </si>
  <si>
    <t>The Air District has an open solicitation offering incentives for replacement of off-road  equipment with zero-emisison alternatives under Carl Moyer, CAP, and VW ZEFM. 
There is not currently a solicition underway for hydrogen trucks and infrastructure.
Over $4 Million dollars given from the Air District to AC Transit</t>
  </si>
  <si>
    <t>Approved 3/2024
Only 1 event hosted so far
Emission Reduction Goal: 4.6 tons of NOx</t>
  </si>
  <si>
    <t xml:space="preserve"> -Ongoing discussions with Richland Unified on electric bus deployment and the related charging infrastructure
-Working with school district to identify additional buses. 
CAP Incentive data reports $2099268.32 for 5 school buses. </t>
  </si>
  <si>
    <t xml:space="preserve">Drafting project plan </t>
  </si>
  <si>
    <t>The goal of this strategy is to limit the potential for localized air quality
 impacts at permitted facilities associated with the failure to comply with emission
 standards established by District permit, rule, or regulation.</t>
  </si>
  <si>
    <t>Limit Permitted Facilities</t>
  </si>
  <si>
    <t>3. Business Benefits</t>
  </si>
  <si>
    <t>During Reporting Period (2024 Q4):
 14 Stationary Source Inspections 
  1 emissions violations found and cited
-Reviewed the enforcement history of permitted facilities in this community and, as applicable, changed inspection frequency to 6 months.
 Link:
 Annual and Quarterly Enforcement Reports</t>
  </si>
  <si>
    <t>To provide incentive funding for the purchase of two electric vehicles for Diala-Ride service within and surrounding the City of Shafter.</t>
  </si>
  <si>
    <t>Transit Bus</t>
  </si>
  <si>
    <t xml:space="preserve">Diala-Ride </t>
  </si>
  <si>
    <t>-CERP project plan submitted to CARB
 -District Governing Board approved program during August 2022 Board Hearing
 Link:
 Project Plan</t>
  </si>
  <si>
    <t>-CSC voted to move $200,000 from locomotive switchers to residential wood burning during July CSC meeting
-District Governing Board approved increase from $3,000 per device for natural gas, to $4,150, and from $4,000 for electric heat pump to $5,000
-Fireplace Change-Out Show &amp; Tell event held in January 2023 was a huge success</t>
  </si>
  <si>
    <t xml:space="preserve"> 
-Social media campaign and advertising scheduled for April, May, June, 2021
-Commercials in Spanish radio begin in June 2021
-Media outreach spring 2022 (Press Release and emails)</t>
  </si>
  <si>
    <t>-Successful in-person event held in November 2021
-CSC decided not to add funding during September 2022 meeting
-During March 2024 in-person meeting, CSC supported shifting $150K for an additional 300 mowers and in-person distribution events
-AB 617 Tune-In Tune-Up &amp; Lawn Mower Exchange event held on Saturday, 11/2/24, exchanged 322 mowers</t>
  </si>
  <si>
    <t>-Project plan submitted to CARB, approved August 2022
-District Governing Board approved program during April 2023 Board Hearing
-District opened RFP solicitation closing 9/29/23 
-District staff reviewed proposal at March and April CSC meeting
Contract executed with Miocar</t>
  </si>
  <si>
    <t>-Submitted Project Plan to CARB 2/24/2021
CARB Approval Pending</t>
  </si>
  <si>
    <t xml:space="preserve">Commitment:  Hands-on training to all 15 gas stations in community
Status: training developed and offered to station operators during periodic compliance inspections
</t>
  </si>
  <si>
    <t xml:space="preserve"> 
-Continued Valley-wide Winter educational paid media campaign featuring Governing Board Members in English and Spanish (November 2024-February 2025)
-Continued Fireplace &amp; Woodstove Changeout Program paid media campaign in English and Spanish (November 2024-February 2025)
-Redesigned Fireplace &amp; Woodstove Changeout Program graphics for social media. (Launched end of October 2024)
-Redesigned Residential Woodsmoke Reduction Season graphics for social. (Launched end of October 2024) 
-Designed new brochure "Types of Burning in the Valley" in English and Spanish to educate residents about the different types of wood burning
-Designed new bilingual "File an Air Pollution Complaint" magnet and flyer to remind residents of the various ways to submit a complaint 
-Continued posting to Facebook Groups and Nextdoor to educate the public about the harmful impacts of woodburning
Commitment: 4 public workshops 6 community spaces in Shafter and surround community
Progress: 1 workshop; Annual CSC meeting focused on wood burning, including incentives opportunities
</t>
  </si>
  <si>
    <t>D33 Enhanced Enforcement of Statewide Anti-Idling Regulation
-Visited locations identified by CSC &amp; CARB to have a history of high idling activity
-District met with businesses of concern to discuss the state idling regulation &amp; to look for opportunities to reduce idling
Targeted Surveillance
During Reporting Period (2024 Q4):
No violations observed</t>
  </si>
  <si>
    <t>Goal: 10 bilingual idle reduction signs 4 presentations on vehicle exhaust
Progress:
-Continued work with CSC to get specific feedback on outreach measures
-Continued work with CSC to identify locations for signs
-Continued work with the City of Shafter to map out locations for sign display
-Distributed no-idling signs to Shafter Recreation and Parks District (January 2025), will distribute more signs when new sports complex is complete
Turn on screen reader support
- 10 signs purchsed</t>
  </si>
  <si>
    <t>Oil and Gas Systems</t>
  </si>
  <si>
    <t xml:space="preserve">Stationary Sources </t>
  </si>
  <si>
    <t xml:space="preserve">Commitment  / Goal:  
Inspections twice per calendar year for the next 5 years or 4 consecutive inspections without a violation        
Progress:
-Reviewed the enforcement history of permitted facilities in this community and, as applicable, changed inspection frequency to 6 months.
During Reporting Period (2024 Q4):
14 Stationary Source Inspections  
 1 emissions violations found and cited 
</t>
  </si>
  <si>
    <t>Distribute 10 HEPA rated filters 
Schools already updated filtration from COVID
CSC moved all of funding to Residential Air Filtration
No longer a strategy</t>
  </si>
  <si>
    <t>Truck Refridgeration Units</t>
  </si>
  <si>
    <t>Bike</t>
  </si>
  <si>
    <t xml:space="preserve">-Reviewing project with City of Stockton with CSC
-During August CSC Meeting, CSC supported moving forward with bike lane project with City of Stockton
-District Governing Board approved project during August meeting
-NEXT STEPS: District will contract with City of Stockton and bring updates to CSC on project when available </t>
  </si>
  <si>
    <t>Trucks and Public</t>
  </si>
  <si>
    <t>No new update - February 2024
July 2023 - While the Air District didn't fund any electrification projects in West Oakland during the reporting period, the Air District continued to partner with the Port of Oakland and others to advance zero emissions technology and infrastructure at the Port. See also Strategy 19.</t>
  </si>
  <si>
    <t>The goal of this strategy is to limit the potential for localized emissions from heavy duty vehicles for failure to comply with the state’s heavy duty anti-idling regulation. Historically, the District has partnered with CARB to conduct anti-idling enforcement throughout valley communities.</t>
  </si>
  <si>
    <t>During Reporting Period (Q3 2024):
No violations observed during District's quarterly enforcement of CARB's regulation
-No idling diesel complaints received</t>
  </si>
  <si>
    <t>This strategy will expedite the review of stationary sources of pollution in the community that are currently being reassessed under the Air Toxics "Hot Spots" Information and Assessment Act (AB 2588).</t>
  </si>
  <si>
    <t>-153 facilities have been processed under Hot Spots</t>
  </si>
  <si>
    <t>In addition to the Best Available Retrofit Control Technology (BARCT) implementation schedule above, the District will be analyzing District Rule 4352 - Solid Fuel-Fired Boilers, Steam Generators and Process Heaters to pursue additional emission reduction opportunities beyond BARCT. This rule amendment will be reviewed on the schedule included in the District’s 2018 PM2.5 Plan adopted by CARB into the State Implementation Plan.</t>
  </si>
  <si>
    <t>Rule 4352 amended by District Governing Board in December 2021, achieving further emissions reductions from this source category</t>
  </si>
  <si>
    <t>-Subcommittee met 8/2/22
-Updates regarding ongoing Port of Stockton truck study to be scheduled for upcoming meetings
Drafting Project Plan with Subcommittee</t>
  </si>
  <si>
    <t>Air Quality Tools</t>
  </si>
  <si>
    <t>Commitment: Regular outreach, with community input, targeting air quality education and information about grant programs and opportunities        
Progress:
-CSC and District co-led subcommittee meets monthly
-3 mini grants for outreach awarded to Stockton CBOs
-Dropped off multilingual flyers for the CAR Program at all libraries and community centers within the boundary
-Designed new bilingual File an Air Pollution Complaint magnet and flyer to remind residents of the options they have to submit a complaint
-Connected with schools within the boundary for the distribution of our bilingual 2025 Healthy Air Living Kids' Calendar
-Collaborated with a local food distributor to participate in a food distribution event to sign up qualified residents for the CAR program and handed out bilingual information
-Reaching out to local churches, doctor offices, and WIC centers to see if they will help promote our Clean Air Rooms Program
-Began posting to District social media platforms, promoting HAL Kids' Calendar Art Contest
-Continue to promote the use and availabity of the District's free No Idling signs to schools in the quarterly Healthy Air Living Schools e-newsletter
-Completed targeted outreach including email blast and social media posts to LinkedIn to promote funding availability for Clean Air Centers
-Completed targeted outreach including direct email and/or phone calls to promote funding availability for Clean Alternatives to Fireworks Pilot Incentive Program
Link:
Outreach Event Tracker
Outreach Resources created with Subcommittee</t>
  </si>
  <si>
    <t xml:space="preserve">Commitment: Enroll all 30 area schools in HAL Schools
Progress:         All schools enrolled
-District enrolled all 30 schools in HAL schools program
-Utilizing Peach Jar to distribute information to parents
-Working with SUSD to ensure all the appropriate people receive air quality information and important communication from the Air District
-8/29/24 Back-to-School outreach was conducted at Roosevelt Elementary and Aspire Rosa Parks Academy
-Countinuously reaching out to Valley schools through our e-newsletter to promote the Healthy Air Living Schools Program
-Continuing distribution of the classroom air quality experiment for Stockton Unified
-Conducted bilingual parent outreach at San Joaquin Elementary 10/3/24
-Currently working with Aspire schools in the AB 617 boundary to encourage their participation in our HAL Schools program
-Distributed HAL Kids' Calendars, Calendar Art Contest information, and Entry Forms to schools and agencies in the community
-Distributed No Idling Signs to local schools
-Continued posting to District social media platforms, including Facebook Groups and Nextdoor, promoting HAL Kids' Calendar Art Contest
</t>
  </si>
  <si>
    <t>Goal
At least 1 targeted enforcement effort during 2nd and 3rd quarters for the next 5 years	
 Progress:
During Reporting Period (Q3 2024):
-6 construction project sites inspected
-2 dust complaints received</t>
  </si>
  <si>
    <t>Hydrogren Refueling</t>
  </si>
  <si>
    <t>WOCAP Tracker
CAP Incentives</t>
  </si>
  <si>
    <t>Approved 3/2024
Only 1 event hosted so far</t>
  </si>
  <si>
    <t>-Stockton Unified approved Board resolution to purchase 10 buses during August 8, 2022 Board Hearing
-District continuing to work with SUSD on remaining funding</t>
  </si>
  <si>
    <t>No</t>
  </si>
  <si>
    <t>-Project Plan approved by CARB on 02/15/2022
-CSC voted to approve adding $115,000 from school filtration measure to fund additional incentives for replacement of wood burning devices to cover out-of-pocket expenses for residents in boundary
-Fireplace Change-Out Show &amp; Tell event scheduled, 4:30-7pm, February 23, Yasoo Yani Restaurant, 326 E Main Street
-Continued posting to District social media platforms, including Facebook Groups and Nextdoor, promoting the Fireplace &amp; Woodstove Change-Out</t>
  </si>
  <si>
    <t>-Draft “Expedited” Project Plan submitted to CARB for review and approval on 6/01/2022, Project Plan approved October 2022
-Working with Stockton Unified to share available grant information
-Promoting this grant at all outreach events by distributing informational flyer
-During April 2024 Governing Board meeting, Board approved CSC recommended reallocation to support additional SUSD applications</t>
  </si>
  <si>
    <t>-Project Plan approved October 2022
-Continued distribution of CGYM grant information at all Stockton events
-CSC voted to reallocate $100K from school air filtration to fund 200 additional units in June 2023
-Exchanged 155 lawnmowers at the trade-in and air purifier distribution event on Thursday, May 23 at Fremont Plaza Hardware
-CSC voted to reallocate $200K from switcher locomotives to fund 400 additional units in September 2024
-Continue to share CGYM materials at all outreach events
-Next Lawn Mower Exchange event scheduled for June 28, 2025 at San Joaquin Fairgrounds
-Continued posting to District social media platforms, including Facebook Groups and Nextdoor, promoting the Clean Green Yard Machines</t>
  </si>
  <si>
    <t>Bicycle infrastructure
 Infrastructure to support alternative modes of transportation (electrical vehicles,
near-zero emissions vehicles)
 Satellite offices/telecommuting centers to reduce or eliminate employee
commutes</t>
  </si>
  <si>
    <t xml:space="preserve">-District Governing Board approved Car Share Program for up to $1M for Housing Authority of San Joaquin County during August 2022 Board Hearing
-Contract executed with Housing Authority of SJ County
Funding Obligated to 1 Car Share Project </t>
  </si>
  <si>
    <t>-Valleywide AB 617 Town Hall held on December 2, 2021
-Co-leads investigating opportunities for partnership with SJ County Apprenticeship Program
Drafting Project Plan with Subcommittee</t>
  </si>
  <si>
    <t>-Planning Spring/Summer paid media campaign to educate residents that it is illegal to burn trash
-Continued posting Burning Trash is Illegal social media graphics and continued messaging on social media about the harmful effects of burning and to educate residents that it is illegal to burn trash 
-Designed and published new brochure Types of Burning in the Valley in English and Spanish to educate residents about the different types of burning
-Designed new bilingual File an Air Pollution Complaint magnet and flyer to remind residents of the options they have to submit a complaint
Commitment: Develop Burn Cleaner Radio and Social Media Ads        
Progress: District attended 10 community events with CBO partners</t>
  </si>
  <si>
    <t>-Burn Cleaner Radio and Social Media Ads running; Stockton specific flyer developed for circulation
-Disseminated multilingual outreach materials during school outreach and air purifier distribution events at AB 617 schools
-Designed Clean Air Centers (CAC) social media graphics to promote CAC locations in the San Joaquin Valley and educate about wildfire safety
-Organized a Valley-wide Winter educational paid media campaign featuring Governing Board Members in both English and Spanish (November 2024- February 2025)
-Coordinated a paid media campaign for the Fireplace &amp; Woodstove Changeout Program in English and Spanish to run from November 2024 - February 2025
-Redesigned Fireplace &amp; Woodstove Changeout Program graphics for social media. (Launched end of October 2024) 
-Redesigned Residential Woodsmoke Reduction Season graphics for social. (Launched end of October 2024) 
-Designed and published new brochure Types of Burning in the Valley in English and Spanish to educate residents about the different types of burning
-Designed new bilingual File an Air Pollution Complaint magnet and flyer to remind residents of the options they have to submit a complaint
-Continued posting social media posts promoting AirNow.gov to help protect ones health by following current air quality conditions
Commitment: 4 public workshops; infographics and education materials circulated to 6 community spaces        
Progress:
-2 community-developed flyers about smokes (wood smoke and fireworks) created and passed out to community groups
-District attended 10 community events with CBO partners</t>
  </si>
  <si>
    <t>Increased Inspection</t>
  </si>
  <si>
    <t>Goal:
At least 2 inspections per year until facility has 4 consecutive inspections without emissions violation	
Progress
During Reporting Period (Q3 2024):
-53 total inspections completed (52 compliance inspections; 1 source test observation(s))"</t>
  </si>
  <si>
    <t>Importance of sensitive receptors</t>
  </si>
  <si>
    <t>Importance of heat reduction, AB32, "The total net savings when considering energy, ozone, and PM reduced
from vegetation were valued at $210/tree."</t>
  </si>
  <si>
    <t>Not included in CERP Tracker
Not following through with this measure, why was it included in the CERP?</t>
  </si>
  <si>
    <t>Cargo Handling Equipment</t>
  </si>
  <si>
    <t xml:space="preserve">Marine Vessels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</si>
</sst>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3">
    <font>
      <sz val="10.0"/>
      <color rgb="FF000000"/>
      <name val="Arial"/>
      <scheme val="minor"/>
    </font>
    <font>
      <b/>
      <sz val="11.0"/>
      <color theme="1"/>
      <name val="Calibri"/>
    </font>
    <font>
      <color theme="1"/>
      <name val="Arial"/>
    </font>
    <font>
      <sz val="11.0"/>
      <color theme="1"/>
      <name val="Calibri"/>
    </font>
    <font>
      <sz val="12.0"/>
      <color rgb="FF000000"/>
      <name val="Calibri"/>
    </font>
    <font>
      <sz val="11.0"/>
      <color rgb="FF000000"/>
      <name val="Calibri"/>
    </font>
    <font>
      <sz val="10.0"/>
      <color rgb="FF000000"/>
      <name val="Arial"/>
    </font>
    <font>
      <b/>
      <sz val="16.0"/>
      <color rgb="FF000000"/>
      <name val="Lato"/>
    </font>
    <font>
      <b/>
      <sz val="12.0"/>
      <color theme="1"/>
      <name val="Calibri"/>
    </font>
    <font>
      <sz val="12.0"/>
      <color theme="1"/>
      <name val="Calibri"/>
    </font>
    <font>
      <sz val="12.0"/>
      <color theme="1"/>
      <name val="Arial"/>
    </font>
    <font>
      <sz val="12.0"/>
      <color rgb="FF222222"/>
      <name val="Calibri"/>
    </font>
    <font>
      <sz val="12.0"/>
      <color rgb="FF0070C0"/>
      <name val="Calibri"/>
    </font>
    <font>
      <strike/>
      <sz val="12.0"/>
      <color theme="1"/>
      <name val="Calibri"/>
    </font>
    <font>
      <b/>
      <sz val="12.0"/>
      <color rgb="FF000000"/>
      <name val="Calibri"/>
    </font>
    <font>
      <u/>
      <sz val="12.0"/>
      <color theme="1"/>
      <name val="Calibri"/>
    </font>
    <font>
      <strike/>
      <color theme="1"/>
      <name val="Arial"/>
    </font>
    <font>
      <sz val="12.0"/>
      <color rgb="FF1F1F1F"/>
      <name val="Calibri"/>
    </font>
    <font>
      <u/>
      <sz val="12.0"/>
      <color rgb="FF0000FF"/>
      <name val="Calibri"/>
    </font>
    <font>
      <u/>
      <sz val="12.0"/>
      <color rgb="FF0000FF"/>
      <name val="Calibri"/>
    </font>
    <font>
      <u/>
      <sz val="12.0"/>
      <color rgb="FF0000FF"/>
      <name val="Calibri"/>
    </font>
    <font>
      <u/>
      <sz val="12.0"/>
      <color theme="1"/>
      <name val="Calibri"/>
    </font>
    <font>
      <sz val="12.0"/>
      <color rgb="FF434343"/>
      <name val="Calibri"/>
    </font>
  </fonts>
  <fills count="5">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D3E3FD"/>
        <bgColor rgb="FFD3E3F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top" wrapText="1"/>
    </xf>
    <xf borderId="0" fillId="2" fontId="2" numFmtId="0" xfId="0" applyFill="1" applyFont="1"/>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center" wrapText="1"/>
    </xf>
    <xf borderId="0" fillId="0" fontId="4" numFmtId="0" xfId="0" applyFont="1"/>
    <xf borderId="0" fillId="0" fontId="2" numFmtId="0" xfId="0" applyFont="1"/>
    <xf borderId="0" fillId="0" fontId="3"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shrinkToFit="0" vertical="center" wrapText="1"/>
    </xf>
    <xf borderId="0" fillId="0" fontId="3" numFmtId="0" xfId="0" applyFont="1"/>
    <xf borderId="0" fillId="0" fontId="6" numFmtId="0" xfId="0" applyFont="1"/>
    <xf borderId="0" fillId="0" fontId="5" numFmtId="0" xfId="0" applyFont="1"/>
    <xf borderId="0" fillId="2" fontId="3" numFmtId="0" xfId="0" applyAlignment="1" applyFont="1">
      <alignment vertical="bottom"/>
    </xf>
    <xf borderId="0" fillId="0" fontId="5" numFmtId="0" xfId="0" applyAlignment="1" applyFont="1">
      <alignment horizontal="left" shrinkToFit="0" wrapText="1"/>
    </xf>
    <xf borderId="0" fillId="3" fontId="3" numFmtId="0" xfId="0" applyAlignment="1" applyFill="1" applyFont="1">
      <alignment horizontal="right" vertical="bottom"/>
    </xf>
    <xf borderId="0" fillId="3" fontId="3" numFmtId="0" xfId="0" applyAlignment="1" applyFont="1">
      <alignment vertical="bottom"/>
    </xf>
    <xf borderId="0" fillId="3" fontId="3" numFmtId="0" xfId="0" applyAlignment="1" applyFont="1">
      <alignment shrinkToFit="0" vertical="center" wrapText="1"/>
    </xf>
    <xf borderId="0" fillId="0" fontId="7" numFmtId="0" xfId="0" applyFont="1"/>
    <xf borderId="0" fillId="3" fontId="2" numFmtId="0" xfId="0" applyFont="1"/>
    <xf borderId="0" fillId="3" fontId="3" numFmtId="0" xfId="0" applyAlignment="1" applyFont="1">
      <alignment shrinkToFit="0" vertical="bottom" wrapText="1"/>
    </xf>
    <xf borderId="0" fillId="2" fontId="3" numFmtId="0" xfId="0" applyFont="1"/>
    <xf borderId="0" fillId="0" fontId="6" numFmtId="0" xfId="0" applyAlignment="1" applyFont="1">
      <alignment shrinkToFit="0" vertical="center" wrapText="1"/>
    </xf>
    <xf borderId="1" fillId="0" fontId="8" numFmtId="0" xfId="0" applyAlignment="1" applyBorder="1" applyFont="1">
      <alignment horizontal="left" readingOrder="0" shrinkToFit="0" vertical="bottom" wrapText="1"/>
    </xf>
    <xf borderId="1" fillId="0" fontId="8" numFmtId="0" xfId="0" applyAlignment="1" applyBorder="1" applyFont="1">
      <alignment horizontal="left" shrinkToFit="0" vertical="bottom" wrapText="1"/>
    </xf>
    <xf borderId="1" fillId="0" fontId="9" numFmtId="0" xfId="0" applyAlignment="1" applyBorder="1" applyFont="1">
      <alignment horizontal="left" readingOrder="0" shrinkToFit="0" vertical="bottom" wrapText="1"/>
    </xf>
    <xf borderId="1" fillId="0" fontId="9" numFmtId="49" xfId="0" applyAlignment="1" applyBorder="1" applyFont="1" applyNumberFormat="1">
      <alignment horizontal="left" readingOrder="0" shrinkToFit="0" vertical="bottom" wrapText="1"/>
    </xf>
    <xf borderId="1" fillId="0" fontId="9" numFmtId="4" xfId="0" applyAlignment="1" applyBorder="1" applyFont="1" applyNumberFormat="1">
      <alignment horizontal="left" readingOrder="0" shrinkToFit="0" vertical="bottom" wrapText="1"/>
    </xf>
    <xf borderId="1" fillId="0" fontId="9" numFmtId="164" xfId="0" applyAlignment="1" applyBorder="1" applyFont="1" applyNumberFormat="1">
      <alignment horizontal="left" readingOrder="0" shrinkToFit="0" vertical="bottom" wrapText="1"/>
    </xf>
    <xf borderId="1" fillId="0" fontId="9" numFmtId="0" xfId="0" applyAlignment="1" applyBorder="1" applyFont="1">
      <alignment horizontal="left" shrinkToFit="0" vertical="bottom" wrapText="1"/>
    </xf>
    <xf borderId="1" fillId="0" fontId="9" numFmtId="0" xfId="0" applyAlignment="1" applyBorder="1" applyFont="1">
      <alignment shrinkToFit="0" wrapText="1"/>
    </xf>
    <xf borderId="0" fillId="0" fontId="9" numFmtId="0" xfId="0" applyAlignment="1" applyFont="1">
      <alignment horizontal="left" readingOrder="0" shrinkToFit="0" vertical="bottom" wrapText="1"/>
    </xf>
    <xf borderId="0" fillId="0" fontId="9" numFmtId="0" xfId="0" applyAlignment="1" applyFont="1">
      <alignment horizontal="left" shrinkToFit="0" vertical="bottom" wrapText="1"/>
    </xf>
    <xf borderId="0" fillId="0" fontId="4" numFmtId="0" xfId="0" applyAlignment="1" applyFont="1">
      <alignment horizontal="left" shrinkToFit="0" wrapText="1"/>
    </xf>
    <xf borderId="0" fillId="0" fontId="9" numFmtId="0" xfId="0" applyAlignment="1" applyFont="1">
      <alignment horizontal="left" shrinkToFit="0" wrapText="1"/>
    </xf>
    <xf borderId="0" fillId="0" fontId="9" numFmtId="4" xfId="0" applyAlignment="1" applyFont="1" applyNumberFormat="1">
      <alignment horizontal="left" shrinkToFit="0" vertical="bottom" wrapText="1"/>
    </xf>
    <xf borderId="0" fillId="0" fontId="9" numFmtId="0" xfId="0" applyFont="1"/>
    <xf borderId="0" fillId="0" fontId="9" numFmtId="0" xfId="0" applyAlignment="1" applyFont="1">
      <alignment horizontal="left" readingOrder="0" shrinkToFit="0" wrapText="1"/>
    </xf>
    <xf borderId="0" fillId="0" fontId="9" numFmtId="4" xfId="0" applyAlignment="1" applyFont="1" applyNumberFormat="1">
      <alignment horizontal="left" shrinkToFit="0" wrapText="1"/>
    </xf>
    <xf borderId="0" fillId="0" fontId="3" numFmtId="0" xfId="0" applyAlignment="1" applyFont="1">
      <alignment shrinkToFit="0" wrapText="1"/>
    </xf>
    <xf borderId="0" fillId="0" fontId="4" numFmtId="0" xfId="0" applyAlignment="1" applyFont="1">
      <alignment horizontal="left" readingOrder="0" shrinkToFit="0" wrapText="1"/>
    </xf>
    <xf borderId="0" fillId="0" fontId="9" numFmtId="0" xfId="0" applyAlignment="1" applyFont="1">
      <alignment vertical="bottom"/>
    </xf>
    <xf borderId="0" fillId="0" fontId="9" numFmtId="0" xfId="0" applyAlignment="1" applyFont="1">
      <alignment shrinkToFit="0" vertical="center" wrapText="1"/>
    </xf>
    <xf borderId="0" fillId="0" fontId="9" numFmtId="0" xfId="0" applyFont="1"/>
    <xf borderId="0" fillId="0" fontId="9" numFmtId="0" xfId="0" applyAlignment="1" applyFont="1">
      <alignment shrinkToFit="0" wrapText="1"/>
    </xf>
    <xf borderId="0" fillId="0" fontId="9" numFmtId="0" xfId="0" applyAlignment="1" applyFont="1">
      <alignment shrinkToFit="0" vertical="bottom" wrapText="1"/>
    </xf>
    <xf borderId="0" fillId="0" fontId="2" numFmtId="0" xfId="0" applyAlignment="1" applyFont="1">
      <alignment shrinkToFit="0" wrapText="1"/>
    </xf>
    <xf borderId="0" fillId="4" fontId="2" numFmtId="0" xfId="0" applyAlignment="1" applyFill="1" applyFont="1">
      <alignment vertical="bottom"/>
    </xf>
    <xf borderId="0" fillId="0" fontId="4" numFmtId="0" xfId="0" applyAlignment="1" applyFont="1">
      <alignment horizontal="left" shrinkToFit="0" vertical="bottom" wrapText="1"/>
    </xf>
    <xf borderId="0" fillId="3" fontId="2" numFmtId="0" xfId="0" applyAlignment="1" applyFont="1">
      <alignment shrinkToFit="0" wrapText="1"/>
    </xf>
    <xf borderId="0" fillId="0" fontId="9" numFmtId="0" xfId="0" applyAlignment="1" applyFont="1">
      <alignment horizontal="left" shrinkToFit="0" vertical="center" wrapText="1"/>
    </xf>
    <xf borderId="0" fillId="0" fontId="10" numFmtId="0" xfId="0" applyAlignment="1" applyFont="1">
      <alignment vertical="bottom"/>
    </xf>
    <xf borderId="0" fillId="0" fontId="4" numFmtId="4" xfId="0" applyAlignment="1" applyFont="1" applyNumberFormat="1">
      <alignment horizontal="left" shrinkToFit="0" wrapText="1"/>
    </xf>
    <xf borderId="0" fillId="0" fontId="9" numFmtId="164" xfId="0" applyAlignment="1" applyFont="1" applyNumberFormat="1">
      <alignment horizontal="left" shrinkToFit="0" wrapText="1"/>
    </xf>
    <xf borderId="0" fillId="0" fontId="11" numFmtId="4" xfId="0" applyFont="1" applyNumberFormat="1"/>
    <xf borderId="0" fillId="0" fontId="4" numFmtId="165" xfId="0" applyAlignment="1" applyFont="1" applyNumberFormat="1">
      <alignment horizontal="left" shrinkToFit="0" wrapText="1"/>
    </xf>
    <xf borderId="0" fillId="0" fontId="9" numFmtId="0" xfId="0" applyAlignment="1" applyFont="1">
      <alignment readingOrder="0" shrinkToFit="0" vertical="bottom" wrapText="1"/>
    </xf>
    <xf borderId="0" fillId="0" fontId="9" numFmtId="4" xfId="0" applyAlignment="1" applyFont="1" applyNumberFormat="1">
      <alignment horizontal="right" vertical="bottom"/>
    </xf>
    <xf borderId="0" fillId="0" fontId="4" numFmtId="164" xfId="0" applyAlignment="1" applyFont="1" applyNumberFormat="1">
      <alignment horizontal="left" shrinkToFit="0" vertical="bottom" wrapText="1"/>
    </xf>
    <xf borderId="0" fillId="0" fontId="4" numFmtId="0" xfId="0" applyAlignment="1" applyFont="1">
      <alignment horizontal="left" shrinkToFit="0" vertical="top" wrapText="1"/>
    </xf>
    <xf borderId="0" fillId="0" fontId="12" numFmtId="0" xfId="0" applyAlignment="1" applyFont="1">
      <alignment horizontal="left" shrinkToFit="0" vertical="top" wrapText="1"/>
    </xf>
    <xf borderId="0" fillId="0" fontId="13" numFmtId="0" xfId="0" applyFont="1"/>
    <xf borderId="0" fillId="0" fontId="4" numFmtId="0" xfId="0" applyAlignment="1" applyFont="1">
      <alignment horizontal="left" readingOrder="0" shrinkToFit="0" vertical="top" wrapText="1"/>
    </xf>
    <xf borderId="0" fillId="0" fontId="4" numFmtId="4" xfId="0" applyAlignment="1" applyFont="1" applyNumberFormat="1">
      <alignment horizontal="left" shrinkToFit="0" vertical="top" wrapText="1"/>
    </xf>
    <xf borderId="0" fillId="0" fontId="2" numFmtId="0" xfId="0" applyAlignment="1" applyFont="1">
      <alignment vertical="bottom"/>
    </xf>
    <xf borderId="0" fillId="0" fontId="14" numFmtId="4" xfId="0" applyAlignment="1" applyFont="1" applyNumberFormat="1">
      <alignment horizontal="left" shrinkToFit="0" wrapText="1"/>
    </xf>
    <xf borderId="0" fillId="0" fontId="9" numFmtId="49" xfId="0" applyAlignment="1" applyFont="1" applyNumberFormat="1">
      <alignment horizontal="left" shrinkToFit="0" vertical="bottom" wrapText="1"/>
    </xf>
    <xf borderId="0" fillId="0" fontId="4" numFmtId="4" xfId="0" applyAlignment="1" applyFont="1" applyNumberFormat="1">
      <alignment horizontal="left" shrinkToFit="0" vertical="bottom" wrapText="1"/>
    </xf>
    <xf borderId="0" fillId="0" fontId="9" numFmtId="164" xfId="0" applyAlignment="1" applyFont="1" applyNumberFormat="1">
      <alignment horizontal="left" shrinkToFit="0" vertical="bottom" wrapText="1"/>
    </xf>
    <xf borderId="0" fillId="0" fontId="9" numFmtId="4" xfId="0" applyFont="1" applyNumberFormat="1"/>
    <xf borderId="0" fillId="0" fontId="9" numFmtId="165" xfId="0" applyAlignment="1" applyFont="1" applyNumberFormat="1">
      <alignment horizontal="left" shrinkToFit="0" vertical="bottom" wrapText="1"/>
    </xf>
    <xf borderId="0" fillId="0" fontId="4" numFmtId="0" xfId="0" applyAlignment="1" applyFont="1">
      <alignment horizontal="left" readingOrder="0" shrinkToFit="0" vertical="bottom" wrapText="1"/>
    </xf>
    <xf borderId="0" fillId="0" fontId="15" numFmtId="0" xfId="0" applyAlignment="1" applyFont="1">
      <alignment horizontal="left" shrinkToFit="0" vertical="bottom" wrapText="1"/>
    </xf>
    <xf borderId="0" fillId="0" fontId="4" numFmtId="0" xfId="0" applyAlignment="1" applyFont="1">
      <alignment horizontal="left" readingOrder="0" shrinkToFit="0" vertical="bottom" wrapText="1"/>
    </xf>
    <xf borderId="0" fillId="0" fontId="16" numFmtId="0" xfId="0" applyFont="1"/>
    <xf borderId="0" fillId="0" fontId="9" numFmtId="0" xfId="0" applyAlignment="1" applyFont="1">
      <alignment horizontal="left" shrinkToFit="0" vertical="top" wrapText="1"/>
    </xf>
    <xf borderId="0" fillId="0" fontId="4" numFmtId="4" xfId="0" applyAlignment="1" applyFont="1" applyNumberFormat="1">
      <alignment horizontal="right" vertical="bottom"/>
    </xf>
    <xf borderId="0" fillId="0" fontId="17" numFmtId="4" xfId="0" applyFont="1" applyNumberFormat="1"/>
    <xf borderId="0" fillId="0" fontId="18" numFmtId="0" xfId="0" applyAlignment="1" applyFont="1">
      <alignment horizontal="left" shrinkToFit="0" wrapText="1"/>
    </xf>
    <xf borderId="0" fillId="0" fontId="9" numFmtId="0" xfId="0" applyAlignment="1" applyFont="1">
      <alignment readingOrder="0"/>
    </xf>
    <xf borderId="0" fillId="0" fontId="19" numFmtId="0" xfId="0" applyAlignment="1" applyFont="1">
      <alignment horizontal="left" shrinkToFit="0" vertical="bottom" wrapText="1"/>
    </xf>
    <xf borderId="0" fillId="0" fontId="20" numFmtId="0" xfId="0" applyAlignment="1" applyFont="1">
      <alignment horizontal="left" shrinkToFit="0" vertical="top" wrapText="1"/>
    </xf>
    <xf borderId="0" fillId="0" fontId="21" numFmtId="0" xfId="0" applyAlignment="1" applyFont="1">
      <alignment horizontal="left" readingOrder="0" shrinkToFit="0" vertical="center" wrapText="1"/>
    </xf>
    <xf borderId="0" fillId="0" fontId="2" numFmtId="0" xfId="0" applyAlignment="1" applyFont="1">
      <alignment shrinkToFit="0" vertical="bottom" wrapText="1"/>
    </xf>
    <xf borderId="0" fillId="0" fontId="9" numFmtId="165" xfId="0" applyAlignment="1" applyFont="1" applyNumberFormat="1">
      <alignment horizontal="left" shrinkToFit="0" wrapText="1"/>
    </xf>
    <xf borderId="0" fillId="0" fontId="22" numFmtId="0" xfId="0" applyAlignment="1" applyFont="1">
      <alignment horizontal="left" shrinkToFit="0" vertical="top" wrapText="1"/>
    </xf>
    <xf borderId="0" fillId="0" fontId="4" numFmtId="0" xfId="0" applyAlignment="1" applyFont="1">
      <alignment horizontal="right" shrinkToFit="0" wrapText="1"/>
    </xf>
    <xf borderId="0" fillId="0" fontId="9" numFmtId="3" xfId="0" applyAlignment="1" applyFont="1" applyNumberFormat="1">
      <alignment horizontal="left" shrinkToFit="0" wrapText="1"/>
    </xf>
    <xf borderId="0" fillId="0" fontId="9" numFmtId="0" xfId="0" applyAlignment="1" applyFont="1">
      <alignment horizontal="right" vertical="bottom"/>
    </xf>
    <xf borderId="0" fillId="0" fontId="9" numFmtId="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ebmaps.arb.ca.gov/edvs/" TargetMode="External"/><Relationship Id="rId10" Type="http://schemas.openxmlformats.org/officeDocument/2006/relationships/hyperlink" Target="https://webmaps.arb.ca.gov/edvs/" TargetMode="External"/><Relationship Id="rId13" Type="http://schemas.openxmlformats.org/officeDocument/2006/relationships/hyperlink" Target="https://community.valleyair.org/media/2794/mexican-colony-cmaq-letter-of-support.pdf" TargetMode="External"/><Relationship Id="rId12" Type="http://schemas.openxmlformats.org/officeDocument/2006/relationships/hyperlink" Target="https://cityoffresno.maps.arcgis.com/apps/MapSeries/index.html?appid=3c9221d7717d44b6b3e65db2086832b6" TargetMode="External"/><Relationship Id="rId1" Type="http://schemas.openxmlformats.org/officeDocument/2006/relationships/hyperlink" Target="https://www.aqmd.gov/docs/default-source/ceqa/documents/ab617-quickreferenceguide-feb2025.pdf)." TargetMode="External"/><Relationship Id="rId2" Type="http://schemas.openxmlformats.org/officeDocument/2006/relationships/hyperlink" Target="https://community.valleyair.org/selected-communities/arvin-lamont/steering-committee-meetings" TargetMode="External"/><Relationship Id="rId3" Type="http://schemas.openxmlformats.org/officeDocument/2006/relationships/hyperlink" Target="https://community.valleyair.org/selected-communities/arvin-lamont/reports-and-document-archive/" TargetMode="External"/><Relationship Id="rId4" Type="http://schemas.openxmlformats.org/officeDocument/2006/relationships/hyperlink" Target="https://ww2.arb.ca.gov/sites/default/files/2022-11/EBIP%20Presentation%20WG%20November%2030_english_v2-SA.pdf" TargetMode="External"/><Relationship Id="rId9" Type="http://schemas.openxmlformats.org/officeDocument/2006/relationships/hyperlink" Target="https://community.valleyair.org/media/vmxir5fl/pbg-cerp_fresno-shafter-arvin-lamont_final-package-32223.pdf" TargetMode="External"/><Relationship Id="rId15" Type="http://schemas.openxmlformats.org/officeDocument/2006/relationships/hyperlink" Target="https://lmsaca.fresno.gov/CitizenAccess/" TargetMode="External"/><Relationship Id="rId14" Type="http://schemas.openxmlformats.org/officeDocument/2006/relationships/hyperlink" Target="https://community.valleyair.org/media/1515/01-finalshaftercerp-9-19-19.pdf" TargetMode="External"/><Relationship Id="rId17" Type="http://schemas.openxmlformats.org/officeDocument/2006/relationships/hyperlink" Target="https://community.valleyair.org/selected-communities/shafter/reports-and-document-archive" TargetMode="External"/><Relationship Id="rId16" Type="http://schemas.openxmlformats.org/officeDocument/2006/relationships/hyperlink" Target="https://www.valleyair.org/Workshops/postings/2020/12-17-20_r4311/notice.pdf" TargetMode="External"/><Relationship Id="rId5" Type="http://schemas.openxmlformats.org/officeDocument/2006/relationships/hyperlink" Target="https://community.valleyair.org/selected-communities/arvin-lamont/subcommittee-meetings/pesticides/" TargetMode="External"/><Relationship Id="rId19" Type="http://schemas.openxmlformats.org/officeDocument/2006/relationships/drawing" Target="../drawings/drawing2.xml"/><Relationship Id="rId6" Type="http://schemas.openxmlformats.org/officeDocument/2006/relationships/hyperlink" Target="https://community.valleyair.org/selected-communities/arvin-lamont/reports-and-document-archive/" TargetMode="External"/><Relationship Id="rId18" Type="http://schemas.openxmlformats.org/officeDocument/2006/relationships/hyperlink" Target="https://community.valleyair.org/media/4092/shafter-transit-vehicle-replacement-cerp-program-plan_draft-final.pdf" TargetMode="External"/><Relationship Id="rId7" Type="http://schemas.openxmlformats.org/officeDocument/2006/relationships/hyperlink" Target="https://docs.google.com/spreadsheets/d/1IgQe2YVrOXMu9LtGG5Tfp66Fx4VtyrdrPVGPqGKEGf0/edit?gid=0" TargetMode="External"/><Relationship Id="rId8" Type="http://schemas.openxmlformats.org/officeDocument/2006/relationships/hyperlink" Target="https://community.valleyair.org/selected-communities/arvin-lamont/reports-and-document-archiv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topLeftCell="D1" activePane="topRight" state="frozen"/>
      <selection activeCell="E2" sqref="E2" pane="topRight"/>
    </sheetView>
  </sheetViews>
  <sheetFormatPr customHeight="1" defaultColWidth="12.63" defaultRowHeight="15.0"/>
  <cols>
    <col customWidth="1" min="6" max="6" width="33.75"/>
    <col customWidth="1" min="7" max="7" width="50.63"/>
    <col customWidth="1" min="8" max="8" width="20.38"/>
    <col customWidth="1" min="9" max="9" width="58.13"/>
    <col customWidth="1" min="10" max="10" width="61.38"/>
    <col customWidth="1" min="12" max="12" width="24.13"/>
  </cols>
  <sheetData>
    <row r="1">
      <c r="A1" s="1" t="s">
        <v>0</v>
      </c>
      <c r="B1" s="1" t="s">
        <v>1</v>
      </c>
      <c r="C1" s="1" t="s">
        <v>2</v>
      </c>
      <c r="D1" s="1" t="s">
        <v>3</v>
      </c>
      <c r="E1" s="1" t="s">
        <v>4</v>
      </c>
      <c r="F1" s="2" t="s">
        <v>5</v>
      </c>
      <c r="G1" s="2" t="s">
        <v>6</v>
      </c>
      <c r="H1" s="1" t="s">
        <v>7</v>
      </c>
      <c r="I1" s="1" t="s">
        <v>8</v>
      </c>
      <c r="J1" s="1" t="s">
        <v>9</v>
      </c>
      <c r="K1" s="1" t="s">
        <v>10</v>
      </c>
      <c r="L1" s="3" t="s">
        <v>11</v>
      </c>
      <c r="M1" s="1" t="s">
        <v>12</v>
      </c>
      <c r="N1" s="1" t="s">
        <v>13</v>
      </c>
      <c r="O1" s="4" t="s">
        <v>14</v>
      </c>
    </row>
    <row r="2">
      <c r="A2" s="5">
        <v>631.0</v>
      </c>
      <c r="B2" s="5">
        <v>6.0</v>
      </c>
      <c r="C2" s="6" t="s">
        <v>15</v>
      </c>
      <c r="D2" s="6" t="s">
        <v>16</v>
      </c>
      <c r="E2" s="6" t="s">
        <v>17</v>
      </c>
      <c r="F2" s="7" t="s">
        <v>18</v>
      </c>
      <c r="G2" s="7" t="s">
        <v>18</v>
      </c>
      <c r="H2" s="6" t="s">
        <v>19</v>
      </c>
      <c r="I2" s="8" t="s">
        <v>20</v>
      </c>
      <c r="J2" s="6" t="s">
        <v>20</v>
      </c>
      <c r="K2" s="6" t="s">
        <v>21</v>
      </c>
      <c r="L2" s="9" t="s">
        <v>22</v>
      </c>
      <c r="M2" s="6" t="s">
        <v>23</v>
      </c>
      <c r="N2" s="6"/>
      <c r="O2" s="4"/>
    </row>
    <row r="3">
      <c r="A3" s="5">
        <v>629.0</v>
      </c>
      <c r="B3" s="5">
        <v>6.0</v>
      </c>
      <c r="C3" s="6" t="s">
        <v>15</v>
      </c>
      <c r="D3" s="6" t="s">
        <v>16</v>
      </c>
      <c r="E3" s="6" t="s">
        <v>17</v>
      </c>
      <c r="F3" s="7" t="s">
        <v>24</v>
      </c>
      <c r="G3" s="7" t="s">
        <v>24</v>
      </c>
      <c r="H3" s="6" t="s">
        <v>19</v>
      </c>
      <c r="I3" s="8" t="s">
        <v>25</v>
      </c>
      <c r="J3" s="6" t="s">
        <v>25</v>
      </c>
      <c r="K3" s="6" t="s">
        <v>26</v>
      </c>
      <c r="L3" s="6" t="s">
        <v>22</v>
      </c>
      <c r="M3" s="6" t="s">
        <v>27</v>
      </c>
      <c r="N3" s="6"/>
      <c r="O3" s="4"/>
    </row>
    <row r="4">
      <c r="A4" s="5">
        <v>611.0</v>
      </c>
      <c r="B4" s="5">
        <v>6.0</v>
      </c>
      <c r="C4" s="6" t="s">
        <v>15</v>
      </c>
      <c r="D4" s="6" t="s">
        <v>16</v>
      </c>
      <c r="E4" s="6" t="s">
        <v>17</v>
      </c>
      <c r="F4" s="7" t="s">
        <v>28</v>
      </c>
      <c r="G4" s="7" t="s">
        <v>29</v>
      </c>
      <c r="H4" s="6" t="s">
        <v>30</v>
      </c>
      <c r="I4" s="8" t="s">
        <v>31</v>
      </c>
      <c r="J4" s="6" t="s">
        <v>31</v>
      </c>
      <c r="K4" s="9" t="s">
        <v>21</v>
      </c>
      <c r="L4" s="6" t="s">
        <v>32</v>
      </c>
      <c r="M4" s="6" t="s">
        <v>33</v>
      </c>
      <c r="N4" s="6"/>
      <c r="O4" s="4"/>
    </row>
    <row r="5">
      <c r="A5" s="5">
        <v>612.0</v>
      </c>
      <c r="B5" s="5">
        <v>6.0</v>
      </c>
      <c r="C5" s="6" t="s">
        <v>15</v>
      </c>
      <c r="D5" s="6" t="s">
        <v>16</v>
      </c>
      <c r="E5" s="6" t="s">
        <v>17</v>
      </c>
      <c r="F5" s="7" t="s">
        <v>28</v>
      </c>
      <c r="G5" s="7" t="s">
        <v>34</v>
      </c>
      <c r="H5" s="6" t="s">
        <v>30</v>
      </c>
      <c r="I5" s="8" t="s">
        <v>35</v>
      </c>
      <c r="J5" s="6" t="s">
        <v>35</v>
      </c>
      <c r="K5" s="9" t="s">
        <v>21</v>
      </c>
      <c r="L5" s="6" t="s">
        <v>32</v>
      </c>
      <c r="M5" s="6" t="s">
        <v>36</v>
      </c>
      <c r="N5" s="6"/>
      <c r="O5" s="4"/>
    </row>
    <row r="6">
      <c r="A6" s="5">
        <v>607.0</v>
      </c>
      <c r="B6" s="5">
        <v>6.0</v>
      </c>
      <c r="C6" s="6" t="s">
        <v>15</v>
      </c>
      <c r="D6" s="6" t="s">
        <v>16</v>
      </c>
      <c r="E6" s="6" t="s">
        <v>17</v>
      </c>
      <c r="F6" s="7" t="s">
        <v>37</v>
      </c>
      <c r="G6" s="7" t="s">
        <v>37</v>
      </c>
      <c r="H6" s="6" t="s">
        <v>38</v>
      </c>
      <c r="I6" s="8" t="s">
        <v>39</v>
      </c>
      <c r="J6" s="6" t="s">
        <v>40</v>
      </c>
      <c r="K6" s="6" t="s">
        <v>41</v>
      </c>
      <c r="L6" s="9" t="s">
        <v>42</v>
      </c>
      <c r="M6" s="6" t="s">
        <v>43</v>
      </c>
      <c r="N6" s="6" t="s">
        <v>44</v>
      </c>
      <c r="O6" s="4"/>
    </row>
    <row r="7">
      <c r="A7" s="5">
        <v>608.0</v>
      </c>
      <c r="B7" s="5">
        <v>6.0</v>
      </c>
      <c r="C7" s="6" t="s">
        <v>15</v>
      </c>
      <c r="D7" s="6" t="s">
        <v>16</v>
      </c>
      <c r="E7" s="6" t="s">
        <v>17</v>
      </c>
      <c r="F7" s="7" t="s">
        <v>45</v>
      </c>
      <c r="G7" s="7" t="s">
        <v>45</v>
      </c>
      <c r="H7" s="6" t="s">
        <v>38</v>
      </c>
      <c r="I7" s="8" t="s">
        <v>46</v>
      </c>
      <c r="J7" s="6" t="s">
        <v>47</v>
      </c>
      <c r="K7" s="6" t="s">
        <v>48</v>
      </c>
      <c r="L7" s="10" t="s">
        <v>49</v>
      </c>
      <c r="M7" s="6" t="s">
        <v>50</v>
      </c>
      <c r="N7" s="6"/>
      <c r="O7" s="4"/>
    </row>
    <row r="8">
      <c r="A8" s="5">
        <v>614.0</v>
      </c>
      <c r="B8" s="5">
        <v>6.0</v>
      </c>
      <c r="C8" s="6" t="s">
        <v>15</v>
      </c>
      <c r="D8" s="6" t="s">
        <v>16</v>
      </c>
      <c r="E8" s="6" t="s">
        <v>17</v>
      </c>
      <c r="F8" s="7" t="s">
        <v>51</v>
      </c>
      <c r="G8" s="7" t="s">
        <v>51</v>
      </c>
      <c r="H8" s="6" t="s">
        <v>30</v>
      </c>
      <c r="I8" s="8" t="s">
        <v>52</v>
      </c>
      <c r="J8" s="6" t="s">
        <v>52</v>
      </c>
      <c r="K8" s="6" t="s">
        <v>21</v>
      </c>
      <c r="L8" s="6" t="s">
        <v>53</v>
      </c>
      <c r="M8" s="6" t="s">
        <v>54</v>
      </c>
      <c r="N8" s="6"/>
    </row>
    <row r="9">
      <c r="A9" s="5">
        <v>613.0</v>
      </c>
      <c r="B9" s="5">
        <v>6.0</v>
      </c>
      <c r="C9" s="6" t="s">
        <v>15</v>
      </c>
      <c r="D9" s="6" t="s">
        <v>16</v>
      </c>
      <c r="E9" s="6" t="s">
        <v>17</v>
      </c>
      <c r="F9" s="7" t="s">
        <v>55</v>
      </c>
      <c r="G9" s="7" t="s">
        <v>55</v>
      </c>
      <c r="H9" s="6" t="s">
        <v>30</v>
      </c>
      <c r="I9" s="8" t="s">
        <v>56</v>
      </c>
      <c r="J9" s="6" t="s">
        <v>56</v>
      </c>
      <c r="K9" s="6" t="s">
        <v>21</v>
      </c>
      <c r="L9" s="6" t="s">
        <v>53</v>
      </c>
      <c r="M9" s="6" t="s">
        <v>57</v>
      </c>
      <c r="N9" s="6"/>
    </row>
    <row r="10">
      <c r="A10" s="5">
        <v>610.0</v>
      </c>
      <c r="B10" s="5">
        <v>6.0</v>
      </c>
      <c r="C10" s="6" t="s">
        <v>15</v>
      </c>
      <c r="D10" s="6" t="s">
        <v>16</v>
      </c>
      <c r="E10" s="6" t="s">
        <v>17</v>
      </c>
      <c r="F10" s="7" t="s">
        <v>58</v>
      </c>
      <c r="G10" s="7" t="s">
        <v>59</v>
      </c>
      <c r="H10" s="6" t="s">
        <v>38</v>
      </c>
      <c r="I10" s="8" t="s">
        <v>60</v>
      </c>
      <c r="J10" s="6" t="s">
        <v>61</v>
      </c>
      <c r="K10" s="6" t="s">
        <v>21</v>
      </c>
      <c r="L10" s="6" t="s">
        <v>62</v>
      </c>
      <c r="M10" s="6" t="s">
        <v>63</v>
      </c>
      <c r="N10" s="6" t="s">
        <v>64</v>
      </c>
      <c r="O10" s="4"/>
    </row>
    <row r="11">
      <c r="A11" s="5">
        <v>609.0</v>
      </c>
      <c r="B11" s="5">
        <v>6.0</v>
      </c>
      <c r="C11" s="6" t="s">
        <v>15</v>
      </c>
      <c r="D11" s="6" t="s">
        <v>16</v>
      </c>
      <c r="E11" s="6" t="s">
        <v>17</v>
      </c>
      <c r="F11" s="7" t="s">
        <v>65</v>
      </c>
      <c r="G11" s="7" t="s">
        <v>65</v>
      </c>
      <c r="H11" s="6" t="s">
        <v>38</v>
      </c>
      <c r="I11" s="8" t="s">
        <v>66</v>
      </c>
      <c r="J11" s="6" t="s">
        <v>67</v>
      </c>
      <c r="K11" s="6" t="s">
        <v>48</v>
      </c>
      <c r="L11" s="9" t="s">
        <v>62</v>
      </c>
      <c r="M11" s="10" t="s">
        <v>68</v>
      </c>
      <c r="N11" s="6"/>
      <c r="O11" s="4"/>
    </row>
    <row r="12">
      <c r="A12" s="5">
        <v>617.0</v>
      </c>
      <c r="B12" s="5">
        <v>6.0</v>
      </c>
      <c r="C12" s="6" t="s">
        <v>15</v>
      </c>
      <c r="D12" s="6" t="s">
        <v>16</v>
      </c>
      <c r="E12" s="6" t="s">
        <v>17</v>
      </c>
      <c r="F12" s="7" t="s">
        <v>69</v>
      </c>
      <c r="G12" s="7" t="s">
        <v>69</v>
      </c>
      <c r="H12" s="6" t="s">
        <v>70</v>
      </c>
      <c r="I12" s="6"/>
      <c r="J12" s="6" t="s">
        <v>71</v>
      </c>
      <c r="K12" s="6" t="s">
        <v>72</v>
      </c>
      <c r="L12" s="6" t="s">
        <v>73</v>
      </c>
      <c r="M12" s="6"/>
      <c r="N12" s="6"/>
      <c r="O12" s="4">
        <v>0.0</v>
      </c>
    </row>
    <row r="13">
      <c r="A13" s="11">
        <v>616.0</v>
      </c>
      <c r="B13" s="11">
        <v>6.0</v>
      </c>
      <c r="C13" s="12" t="s">
        <v>15</v>
      </c>
      <c r="D13" s="12" t="s">
        <v>16</v>
      </c>
      <c r="E13" s="12" t="s">
        <v>17</v>
      </c>
      <c r="F13" s="13" t="s">
        <v>74</v>
      </c>
      <c r="G13" s="13" t="s">
        <v>74</v>
      </c>
      <c r="H13" s="12" t="s">
        <v>75</v>
      </c>
      <c r="I13" s="14"/>
      <c r="J13" s="6" t="s">
        <v>76</v>
      </c>
      <c r="K13" s="9" t="s">
        <v>21</v>
      </c>
      <c r="L13" s="15" t="s">
        <v>77</v>
      </c>
      <c r="O13" s="4"/>
    </row>
    <row r="14">
      <c r="A14" s="5">
        <v>615.0</v>
      </c>
      <c r="B14" s="5">
        <v>6.0</v>
      </c>
      <c r="C14" s="6" t="s">
        <v>15</v>
      </c>
      <c r="D14" s="6" t="s">
        <v>16</v>
      </c>
      <c r="E14" s="6" t="s">
        <v>17</v>
      </c>
      <c r="F14" s="7" t="s">
        <v>78</v>
      </c>
      <c r="G14" s="7" t="s">
        <v>78</v>
      </c>
      <c r="H14" s="6" t="s">
        <v>70</v>
      </c>
      <c r="I14" s="16" t="s">
        <v>79</v>
      </c>
      <c r="J14" s="6" t="s">
        <v>80</v>
      </c>
      <c r="K14" s="6" t="s">
        <v>81</v>
      </c>
      <c r="L14" s="6" t="s">
        <v>77</v>
      </c>
      <c r="M14" s="6"/>
      <c r="N14" s="6"/>
      <c r="O14" s="4"/>
    </row>
    <row r="15" hidden="1">
      <c r="A15" s="5">
        <v>7.0</v>
      </c>
      <c r="B15" s="5">
        <v>1.0</v>
      </c>
      <c r="C15" s="6" t="s">
        <v>82</v>
      </c>
      <c r="D15" s="6" t="s">
        <v>83</v>
      </c>
      <c r="E15" s="6" t="s">
        <v>17</v>
      </c>
      <c r="F15" s="7" t="s">
        <v>84</v>
      </c>
      <c r="G15" s="7" t="s">
        <v>85</v>
      </c>
      <c r="H15" s="6" t="s">
        <v>86</v>
      </c>
      <c r="I15" s="6" t="s">
        <v>87</v>
      </c>
      <c r="J15" s="6" t="s">
        <v>87</v>
      </c>
      <c r="K15" s="6" t="s">
        <v>88</v>
      </c>
      <c r="L15" s="6" t="s">
        <v>89</v>
      </c>
      <c r="N15" s="6"/>
      <c r="O15" s="6"/>
    </row>
    <row r="16" hidden="1">
      <c r="A16" s="5">
        <v>32.0</v>
      </c>
      <c r="B16" s="5">
        <v>1.0</v>
      </c>
      <c r="C16" s="6" t="s">
        <v>82</v>
      </c>
      <c r="D16" s="6" t="s">
        <v>83</v>
      </c>
      <c r="E16" s="6" t="s">
        <v>17</v>
      </c>
      <c r="F16" s="7" t="s">
        <v>90</v>
      </c>
      <c r="G16" s="7" t="s">
        <v>91</v>
      </c>
      <c r="H16" s="6" t="s">
        <v>21</v>
      </c>
      <c r="I16" s="6" t="s">
        <v>92</v>
      </c>
      <c r="J16" s="6" t="s">
        <v>92</v>
      </c>
      <c r="K16" s="6" t="s">
        <v>21</v>
      </c>
      <c r="L16" s="6" t="s">
        <v>93</v>
      </c>
      <c r="M16" s="6" t="s">
        <v>94</v>
      </c>
      <c r="N16" s="6"/>
      <c r="O16" s="4"/>
    </row>
    <row r="17" hidden="1">
      <c r="A17" s="5">
        <v>46.0</v>
      </c>
      <c r="B17" s="5">
        <v>1.0</v>
      </c>
      <c r="C17" s="6" t="s">
        <v>82</v>
      </c>
      <c r="D17" s="6" t="s">
        <v>83</v>
      </c>
      <c r="E17" s="6" t="s">
        <v>17</v>
      </c>
      <c r="F17" s="7" t="s">
        <v>95</v>
      </c>
      <c r="G17" s="7" t="s">
        <v>95</v>
      </c>
      <c r="H17" s="6" t="s">
        <v>96</v>
      </c>
      <c r="I17" s="6" t="s">
        <v>47</v>
      </c>
      <c r="J17" s="6" t="s">
        <v>47</v>
      </c>
      <c r="K17" s="6" t="s">
        <v>41</v>
      </c>
      <c r="L17" s="6" t="s">
        <v>49</v>
      </c>
      <c r="M17" s="6" t="s">
        <v>50</v>
      </c>
      <c r="N17" s="6"/>
      <c r="O17" s="17"/>
    </row>
    <row r="18" hidden="1">
      <c r="A18" s="5">
        <v>42.0</v>
      </c>
      <c r="B18" s="5">
        <v>1.0</v>
      </c>
      <c r="C18" s="6" t="s">
        <v>82</v>
      </c>
      <c r="D18" s="6" t="s">
        <v>83</v>
      </c>
      <c r="E18" s="6" t="s">
        <v>17</v>
      </c>
      <c r="F18" s="7" t="s">
        <v>97</v>
      </c>
      <c r="G18" s="7" t="s">
        <v>97</v>
      </c>
      <c r="H18" s="6" t="s">
        <v>96</v>
      </c>
      <c r="I18" s="6" t="s">
        <v>98</v>
      </c>
      <c r="J18" s="6" t="s">
        <v>98</v>
      </c>
      <c r="K18" s="6" t="s">
        <v>41</v>
      </c>
      <c r="L18" s="6" t="s">
        <v>99</v>
      </c>
      <c r="M18" s="6" t="s">
        <v>23</v>
      </c>
      <c r="N18" s="6" t="s">
        <v>100</v>
      </c>
      <c r="O18" s="17"/>
    </row>
    <row r="19" hidden="1">
      <c r="A19" s="5">
        <v>44.0</v>
      </c>
      <c r="B19" s="5">
        <v>1.0</v>
      </c>
      <c r="C19" s="6" t="s">
        <v>82</v>
      </c>
      <c r="D19" s="6" t="s">
        <v>83</v>
      </c>
      <c r="E19" s="6" t="s">
        <v>17</v>
      </c>
      <c r="F19" s="7" t="s">
        <v>101</v>
      </c>
      <c r="G19" s="7" t="s">
        <v>101</v>
      </c>
      <c r="H19" s="6" t="s">
        <v>96</v>
      </c>
      <c r="I19" s="6" t="s">
        <v>102</v>
      </c>
      <c r="J19" s="6" t="s">
        <v>71</v>
      </c>
      <c r="K19" s="6" t="s">
        <v>103</v>
      </c>
      <c r="L19" s="6" t="s">
        <v>73</v>
      </c>
      <c r="M19" s="6" t="s">
        <v>104</v>
      </c>
      <c r="N19" s="6"/>
      <c r="O19" s="17"/>
    </row>
    <row r="20" hidden="1">
      <c r="A20" s="5">
        <v>45.0</v>
      </c>
      <c r="B20" s="5">
        <v>1.0</v>
      </c>
      <c r="C20" s="6" t="s">
        <v>82</v>
      </c>
      <c r="D20" s="6" t="s">
        <v>83</v>
      </c>
      <c r="E20" s="6" t="s">
        <v>17</v>
      </c>
      <c r="F20" s="7" t="s">
        <v>105</v>
      </c>
      <c r="G20" s="7" t="s">
        <v>105</v>
      </c>
      <c r="H20" s="6" t="s">
        <v>96</v>
      </c>
      <c r="I20" s="6" t="s">
        <v>106</v>
      </c>
      <c r="J20" s="6" t="s">
        <v>106</v>
      </c>
      <c r="K20" s="6" t="s">
        <v>107</v>
      </c>
      <c r="L20" s="6" t="s">
        <v>108</v>
      </c>
      <c r="M20" s="6"/>
      <c r="N20" s="6"/>
      <c r="O20" s="17">
        <v>0.0</v>
      </c>
    </row>
    <row r="21" ht="15.75" hidden="1" customHeight="1">
      <c r="A21" s="5">
        <v>40.0</v>
      </c>
      <c r="B21" s="5">
        <v>1.0</v>
      </c>
      <c r="C21" s="6" t="s">
        <v>82</v>
      </c>
      <c r="D21" s="6" t="s">
        <v>83</v>
      </c>
      <c r="E21" s="6" t="s">
        <v>17</v>
      </c>
      <c r="F21" s="7" t="s">
        <v>109</v>
      </c>
      <c r="G21" s="7" t="s">
        <v>109</v>
      </c>
      <c r="H21" s="6" t="s">
        <v>110</v>
      </c>
      <c r="I21" s="6" t="s">
        <v>111</v>
      </c>
      <c r="J21" s="6" t="s">
        <v>111</v>
      </c>
      <c r="K21" s="6" t="s">
        <v>112</v>
      </c>
      <c r="L21" s="6" t="s">
        <v>113</v>
      </c>
      <c r="M21" s="6" t="s">
        <v>114</v>
      </c>
      <c r="N21" s="6"/>
      <c r="O21" s="17"/>
    </row>
    <row r="22" ht="15.75" hidden="1" customHeight="1">
      <c r="A22" s="5">
        <v>33.0</v>
      </c>
      <c r="B22" s="5">
        <v>1.0</v>
      </c>
      <c r="C22" s="6" t="s">
        <v>82</v>
      </c>
      <c r="D22" s="6" t="s">
        <v>83</v>
      </c>
      <c r="E22" s="6" t="s">
        <v>17</v>
      </c>
      <c r="F22" s="7" t="s">
        <v>115</v>
      </c>
      <c r="G22" s="7" t="s">
        <v>116</v>
      </c>
      <c r="H22" s="6" t="s">
        <v>21</v>
      </c>
      <c r="I22" s="9" t="s">
        <v>117</v>
      </c>
      <c r="J22" s="9" t="s">
        <v>80</v>
      </c>
      <c r="K22" s="9" t="s">
        <v>103</v>
      </c>
      <c r="L22" s="6" t="s">
        <v>118</v>
      </c>
      <c r="M22" s="6" t="s">
        <v>119</v>
      </c>
      <c r="N22" s="6"/>
      <c r="O22" s="4"/>
    </row>
    <row r="23" ht="15.75" hidden="1" customHeight="1">
      <c r="A23" s="5">
        <v>35.0</v>
      </c>
      <c r="B23" s="5">
        <v>1.0</v>
      </c>
      <c r="C23" s="6" t="s">
        <v>82</v>
      </c>
      <c r="D23" s="6" t="s">
        <v>83</v>
      </c>
      <c r="E23" s="6" t="s">
        <v>17</v>
      </c>
      <c r="F23" s="7" t="s">
        <v>120</v>
      </c>
      <c r="G23" s="7" t="s">
        <v>121</v>
      </c>
      <c r="H23" s="6" t="s">
        <v>122</v>
      </c>
      <c r="I23" s="9" t="s">
        <v>123</v>
      </c>
      <c r="J23" s="9" t="s">
        <v>80</v>
      </c>
      <c r="K23" s="9" t="s">
        <v>103</v>
      </c>
      <c r="L23" s="6" t="s">
        <v>118</v>
      </c>
      <c r="M23" s="6" t="s">
        <v>119</v>
      </c>
      <c r="N23" s="6"/>
      <c r="O23" s="4"/>
    </row>
    <row r="24" ht="15.75" hidden="1" customHeight="1">
      <c r="A24" s="5">
        <v>117.0</v>
      </c>
      <c r="B24" s="5">
        <v>2.0</v>
      </c>
      <c r="C24" s="6" t="s">
        <v>124</v>
      </c>
      <c r="D24" s="6" t="s">
        <v>125</v>
      </c>
      <c r="E24" s="6" t="s">
        <v>17</v>
      </c>
      <c r="F24" s="7" t="s">
        <v>126</v>
      </c>
      <c r="G24" s="7" t="s">
        <v>127</v>
      </c>
      <c r="H24" s="6" t="s">
        <v>110</v>
      </c>
      <c r="I24" s="6" t="s">
        <v>128</v>
      </c>
      <c r="J24" s="6" t="s">
        <v>129</v>
      </c>
      <c r="K24" s="6" t="s">
        <v>130</v>
      </c>
      <c r="L24" s="6" t="s">
        <v>21</v>
      </c>
      <c r="M24" s="6" t="s">
        <v>43</v>
      </c>
      <c r="N24" s="6"/>
      <c r="O24" s="17">
        <v>0.0</v>
      </c>
    </row>
    <row r="25" ht="15.75" hidden="1" customHeight="1">
      <c r="A25" s="5">
        <v>124.0</v>
      </c>
      <c r="B25" s="5">
        <v>2.0</v>
      </c>
      <c r="C25" s="6" t="s">
        <v>124</v>
      </c>
      <c r="D25" s="6" t="s">
        <v>125</v>
      </c>
      <c r="E25" s="6" t="s">
        <v>17</v>
      </c>
      <c r="F25" s="7" t="s">
        <v>131</v>
      </c>
      <c r="G25" s="7" t="s">
        <v>132</v>
      </c>
      <c r="H25" s="6" t="s">
        <v>133</v>
      </c>
      <c r="I25" s="6" t="s">
        <v>134</v>
      </c>
      <c r="J25" s="6" t="s">
        <v>134</v>
      </c>
      <c r="K25" s="6" t="s">
        <v>130</v>
      </c>
      <c r="L25" s="9" t="s">
        <v>22</v>
      </c>
      <c r="M25" s="9" t="s">
        <v>135</v>
      </c>
      <c r="N25" s="6" t="s">
        <v>136</v>
      </c>
      <c r="O25" s="17">
        <v>0.0</v>
      </c>
    </row>
    <row r="26" ht="15.75" hidden="1" customHeight="1">
      <c r="A26" s="5">
        <v>116.0</v>
      </c>
      <c r="B26" s="5">
        <v>2.0</v>
      </c>
      <c r="C26" s="6" t="s">
        <v>124</v>
      </c>
      <c r="D26" s="6" t="s">
        <v>125</v>
      </c>
      <c r="E26" s="6" t="s">
        <v>17</v>
      </c>
      <c r="F26" s="7" t="s">
        <v>137</v>
      </c>
      <c r="G26" s="7" t="s">
        <v>138</v>
      </c>
      <c r="H26" s="6" t="s">
        <v>110</v>
      </c>
      <c r="I26" s="6" t="s">
        <v>129</v>
      </c>
      <c r="J26" s="6" t="s">
        <v>139</v>
      </c>
      <c r="K26" s="6" t="s">
        <v>21</v>
      </c>
      <c r="L26" s="9" t="s">
        <v>42</v>
      </c>
      <c r="M26" s="6" t="s">
        <v>140</v>
      </c>
      <c r="N26" s="6"/>
      <c r="O26" s="17"/>
    </row>
    <row r="27" ht="15.75" hidden="1" customHeight="1">
      <c r="A27" s="5">
        <v>115.0</v>
      </c>
      <c r="B27" s="5">
        <v>2.0</v>
      </c>
      <c r="C27" s="6" t="s">
        <v>124</v>
      </c>
      <c r="D27" s="6" t="s">
        <v>125</v>
      </c>
      <c r="E27" s="6" t="s">
        <v>17</v>
      </c>
      <c r="F27" s="7" t="s">
        <v>141</v>
      </c>
      <c r="G27" s="7" t="s">
        <v>142</v>
      </c>
      <c r="H27" s="6" t="s">
        <v>110</v>
      </c>
      <c r="I27" s="6" t="s">
        <v>139</v>
      </c>
      <c r="J27" s="6" t="s">
        <v>139</v>
      </c>
      <c r="K27" s="6" t="s">
        <v>130</v>
      </c>
      <c r="L27" s="6" t="s">
        <v>41</v>
      </c>
      <c r="M27" s="6" t="s">
        <v>43</v>
      </c>
      <c r="N27" s="6"/>
      <c r="O27" s="17">
        <v>0.0</v>
      </c>
    </row>
    <row r="28" ht="15.75" hidden="1" customHeight="1">
      <c r="A28" s="5">
        <v>126.0</v>
      </c>
      <c r="B28" s="5">
        <v>2.0</v>
      </c>
      <c r="C28" s="6" t="s">
        <v>124</v>
      </c>
      <c r="D28" s="6" t="s">
        <v>125</v>
      </c>
      <c r="E28" s="6" t="s">
        <v>17</v>
      </c>
      <c r="F28" s="7" t="s">
        <v>143</v>
      </c>
      <c r="G28" s="7" t="s">
        <v>144</v>
      </c>
      <c r="H28" s="6" t="s">
        <v>96</v>
      </c>
      <c r="I28" s="6" t="s">
        <v>79</v>
      </c>
      <c r="J28" s="6" t="s">
        <v>79</v>
      </c>
      <c r="K28" s="6" t="s">
        <v>112</v>
      </c>
      <c r="L28" s="6" t="s">
        <v>145</v>
      </c>
      <c r="M28" s="6"/>
      <c r="N28" s="6"/>
      <c r="O28" s="17">
        <v>2.0</v>
      </c>
    </row>
    <row r="29" ht="15.75" hidden="1" customHeight="1">
      <c r="A29" s="5">
        <v>123.0</v>
      </c>
      <c r="B29" s="5">
        <v>2.0</v>
      </c>
      <c r="C29" s="6" t="s">
        <v>124</v>
      </c>
      <c r="D29" s="6" t="s">
        <v>125</v>
      </c>
      <c r="E29" s="6" t="s">
        <v>17</v>
      </c>
      <c r="F29" s="7" t="s">
        <v>146</v>
      </c>
      <c r="G29" s="7" t="s">
        <v>147</v>
      </c>
      <c r="H29" s="6" t="s">
        <v>133</v>
      </c>
      <c r="I29" s="6" t="s">
        <v>148</v>
      </c>
      <c r="J29" s="6" t="s">
        <v>148</v>
      </c>
      <c r="K29" s="6" t="s">
        <v>26</v>
      </c>
      <c r="L29" s="6" t="s">
        <v>149</v>
      </c>
      <c r="M29" s="6"/>
      <c r="N29" s="6"/>
      <c r="O29" s="17"/>
    </row>
    <row r="30" ht="15.75" hidden="1" customHeight="1">
      <c r="A30" s="5">
        <v>121.0</v>
      </c>
      <c r="B30" s="5">
        <v>2.0</v>
      </c>
      <c r="C30" s="6" t="s">
        <v>124</v>
      </c>
      <c r="D30" s="6" t="s">
        <v>125</v>
      </c>
      <c r="E30" s="6" t="s">
        <v>17</v>
      </c>
      <c r="F30" s="7" t="s">
        <v>150</v>
      </c>
      <c r="G30" s="7" t="s">
        <v>151</v>
      </c>
      <c r="H30" s="6" t="s">
        <v>152</v>
      </c>
      <c r="I30" s="6" t="s">
        <v>153</v>
      </c>
      <c r="J30" s="6" t="s">
        <v>154</v>
      </c>
      <c r="K30" s="6" t="s">
        <v>21</v>
      </c>
      <c r="L30" s="6" t="s">
        <v>42</v>
      </c>
      <c r="M30" s="6" t="s">
        <v>44</v>
      </c>
      <c r="N30" s="6"/>
      <c r="O30" s="17"/>
    </row>
    <row r="31" ht="15.75" hidden="1" customHeight="1">
      <c r="A31" s="5">
        <v>127.0</v>
      </c>
      <c r="B31" s="5">
        <v>2.0</v>
      </c>
      <c r="C31" s="6" t="s">
        <v>124</v>
      </c>
      <c r="D31" s="6" t="s">
        <v>125</v>
      </c>
      <c r="E31" s="6" t="s">
        <v>17</v>
      </c>
      <c r="F31" s="7" t="s">
        <v>155</v>
      </c>
      <c r="G31" s="7" t="s">
        <v>156</v>
      </c>
      <c r="H31" s="6" t="s">
        <v>96</v>
      </c>
      <c r="I31" s="6" t="s">
        <v>98</v>
      </c>
      <c r="J31" s="6" t="s">
        <v>98</v>
      </c>
      <c r="K31" s="6" t="s">
        <v>157</v>
      </c>
      <c r="L31" s="6" t="s">
        <v>158</v>
      </c>
      <c r="M31" s="6" t="s">
        <v>23</v>
      </c>
      <c r="N31" s="6" t="s">
        <v>159</v>
      </c>
      <c r="O31" s="17"/>
    </row>
    <row r="32" ht="15.75" hidden="1" customHeight="1">
      <c r="A32" s="5">
        <v>124.0</v>
      </c>
      <c r="B32" s="5">
        <v>2.0</v>
      </c>
      <c r="C32" s="6" t="s">
        <v>124</v>
      </c>
      <c r="D32" s="6" t="s">
        <v>125</v>
      </c>
      <c r="E32" s="6" t="s">
        <v>17</v>
      </c>
      <c r="F32" s="7" t="s">
        <v>131</v>
      </c>
      <c r="G32" s="7" t="s">
        <v>160</v>
      </c>
      <c r="H32" s="6" t="s">
        <v>133</v>
      </c>
      <c r="I32" s="8" t="s">
        <v>161</v>
      </c>
      <c r="J32" s="6" t="s">
        <v>161</v>
      </c>
      <c r="K32" s="6" t="s">
        <v>162</v>
      </c>
      <c r="L32" s="10" t="s">
        <v>163</v>
      </c>
      <c r="M32" s="6" t="s">
        <v>164</v>
      </c>
      <c r="N32" s="6"/>
      <c r="O32" s="17"/>
    </row>
    <row r="33" ht="15.75" hidden="1" customHeight="1">
      <c r="A33" s="5">
        <v>125.0</v>
      </c>
      <c r="B33" s="5">
        <v>2.0</v>
      </c>
      <c r="C33" s="6" t="s">
        <v>124</v>
      </c>
      <c r="D33" s="6" t="s">
        <v>125</v>
      </c>
      <c r="E33" s="6" t="s">
        <v>17</v>
      </c>
      <c r="F33" s="7" t="s">
        <v>165</v>
      </c>
      <c r="G33" s="7" t="s">
        <v>166</v>
      </c>
      <c r="H33" s="6" t="s">
        <v>133</v>
      </c>
      <c r="I33" s="6" t="s">
        <v>167</v>
      </c>
      <c r="J33" s="6" t="s">
        <v>167</v>
      </c>
      <c r="K33" s="6" t="s">
        <v>112</v>
      </c>
      <c r="L33" s="10" t="s">
        <v>168</v>
      </c>
      <c r="M33" s="6" t="s">
        <v>169</v>
      </c>
      <c r="N33" s="6"/>
      <c r="O33" s="17"/>
    </row>
    <row r="34" ht="15.75" hidden="1" customHeight="1">
      <c r="A34" s="5">
        <v>130.0</v>
      </c>
      <c r="B34" s="5">
        <v>2.0</v>
      </c>
      <c r="C34" s="6" t="s">
        <v>124</v>
      </c>
      <c r="D34" s="6" t="s">
        <v>125</v>
      </c>
      <c r="E34" s="6" t="s">
        <v>17</v>
      </c>
      <c r="F34" s="7" t="s">
        <v>170</v>
      </c>
      <c r="G34" s="7" t="s">
        <v>171</v>
      </c>
      <c r="H34" s="6" t="s">
        <v>172</v>
      </c>
      <c r="I34" s="6" t="s">
        <v>173</v>
      </c>
      <c r="J34" s="6" t="s">
        <v>173</v>
      </c>
      <c r="K34" s="6" t="s">
        <v>26</v>
      </c>
      <c r="L34" s="10" t="s">
        <v>174</v>
      </c>
      <c r="M34" s="6"/>
      <c r="N34" s="6"/>
      <c r="O34" s="17">
        <v>2.0</v>
      </c>
    </row>
    <row r="35" ht="15.75" hidden="1" customHeight="1">
      <c r="A35" s="5">
        <v>128.0</v>
      </c>
      <c r="B35" s="5">
        <v>2.0</v>
      </c>
      <c r="C35" s="6" t="s">
        <v>124</v>
      </c>
      <c r="D35" s="6" t="s">
        <v>125</v>
      </c>
      <c r="E35" s="6" t="s">
        <v>17</v>
      </c>
      <c r="F35" s="7" t="s">
        <v>175</v>
      </c>
      <c r="G35" s="7" t="s">
        <v>176</v>
      </c>
      <c r="H35" s="6" t="s">
        <v>96</v>
      </c>
      <c r="I35" s="6" t="s">
        <v>177</v>
      </c>
      <c r="J35" s="6" t="s">
        <v>178</v>
      </c>
      <c r="K35" s="6" t="s">
        <v>112</v>
      </c>
      <c r="L35" s="6" t="s">
        <v>179</v>
      </c>
      <c r="N35" s="6"/>
      <c r="O35" s="17"/>
    </row>
    <row r="36" ht="15.75" hidden="1" customHeight="1">
      <c r="A36" s="5">
        <v>125.0</v>
      </c>
      <c r="B36" s="5">
        <v>2.0</v>
      </c>
      <c r="C36" s="6" t="s">
        <v>124</v>
      </c>
      <c r="D36" s="6" t="s">
        <v>125</v>
      </c>
      <c r="E36" s="6" t="s">
        <v>17</v>
      </c>
      <c r="F36" s="7" t="s">
        <v>165</v>
      </c>
      <c r="G36" s="7" t="s">
        <v>180</v>
      </c>
      <c r="H36" s="6" t="s">
        <v>133</v>
      </c>
      <c r="I36" s="6" t="s">
        <v>181</v>
      </c>
      <c r="J36" s="6" t="s">
        <v>181</v>
      </c>
      <c r="K36" s="6" t="s">
        <v>130</v>
      </c>
      <c r="L36" s="10" t="s">
        <v>168</v>
      </c>
      <c r="M36" s="6" t="s">
        <v>182</v>
      </c>
      <c r="N36" s="6" t="s">
        <v>183</v>
      </c>
      <c r="O36" s="17"/>
    </row>
    <row r="37" ht="15.75" hidden="1" customHeight="1">
      <c r="A37" s="5">
        <v>132.0</v>
      </c>
      <c r="B37" s="5">
        <v>2.0</v>
      </c>
      <c r="C37" s="6" t="s">
        <v>124</v>
      </c>
      <c r="D37" s="6" t="s">
        <v>125</v>
      </c>
      <c r="E37" s="6" t="s">
        <v>17</v>
      </c>
      <c r="F37" s="7" t="s">
        <v>184</v>
      </c>
      <c r="G37" s="7" t="s">
        <v>185</v>
      </c>
      <c r="H37" s="6" t="s">
        <v>172</v>
      </c>
      <c r="I37" s="6" t="s">
        <v>134</v>
      </c>
      <c r="J37" s="6"/>
      <c r="K37" s="6" t="s">
        <v>26</v>
      </c>
      <c r="L37" s="10" t="s">
        <v>22</v>
      </c>
      <c r="M37" s="6" t="s">
        <v>186</v>
      </c>
      <c r="O37" s="17">
        <v>2.0</v>
      </c>
    </row>
    <row r="38" ht="15.75" hidden="1" customHeight="1">
      <c r="A38" s="5">
        <v>168.0</v>
      </c>
      <c r="B38" s="5">
        <v>4.0</v>
      </c>
      <c r="C38" s="6" t="s">
        <v>187</v>
      </c>
      <c r="D38" s="6" t="s">
        <v>188</v>
      </c>
      <c r="E38" s="6" t="s">
        <v>17</v>
      </c>
      <c r="F38" s="7" t="s">
        <v>189</v>
      </c>
      <c r="G38" s="7" t="s">
        <v>190</v>
      </c>
      <c r="H38" s="6" t="s">
        <v>191</v>
      </c>
      <c r="I38" s="6" t="s">
        <v>192</v>
      </c>
      <c r="J38" s="6" t="s">
        <v>192</v>
      </c>
      <c r="K38" s="6" t="s">
        <v>162</v>
      </c>
      <c r="L38" s="6" t="s">
        <v>193</v>
      </c>
      <c r="M38" s="6" t="s">
        <v>194</v>
      </c>
      <c r="N38" s="6"/>
      <c r="O38" s="4">
        <v>0.0</v>
      </c>
    </row>
    <row r="39" ht="15.75" hidden="1" customHeight="1">
      <c r="A39" s="5">
        <v>211.0</v>
      </c>
      <c r="B39" s="5">
        <v>4.0</v>
      </c>
      <c r="C39" s="6" t="s">
        <v>187</v>
      </c>
      <c r="D39" s="6" t="s">
        <v>188</v>
      </c>
      <c r="E39" s="6" t="s">
        <v>17</v>
      </c>
      <c r="F39" s="7" t="s">
        <v>195</v>
      </c>
      <c r="G39" s="7" t="s">
        <v>196</v>
      </c>
      <c r="H39" s="6" t="s">
        <v>197</v>
      </c>
      <c r="I39" s="6"/>
      <c r="J39" s="6" t="s">
        <v>129</v>
      </c>
      <c r="K39" s="6" t="s">
        <v>112</v>
      </c>
      <c r="L39" s="6" t="s">
        <v>198</v>
      </c>
      <c r="M39" s="6"/>
      <c r="N39" s="6"/>
      <c r="O39" s="4">
        <v>0.0</v>
      </c>
    </row>
    <row r="40" ht="15.75" hidden="1" customHeight="1">
      <c r="A40" s="5">
        <v>202.0</v>
      </c>
      <c r="B40" s="5">
        <v>4.0</v>
      </c>
      <c r="C40" s="6" t="s">
        <v>187</v>
      </c>
      <c r="D40" s="6" t="s">
        <v>188</v>
      </c>
      <c r="E40" s="6" t="s">
        <v>17</v>
      </c>
      <c r="F40" s="7" t="s">
        <v>199</v>
      </c>
      <c r="G40" s="7" t="s">
        <v>200</v>
      </c>
      <c r="H40" s="6" t="s">
        <v>110</v>
      </c>
      <c r="I40" s="6" t="s">
        <v>201</v>
      </c>
      <c r="J40" s="6" t="s">
        <v>202</v>
      </c>
      <c r="K40" s="6" t="s">
        <v>130</v>
      </c>
      <c r="L40" s="6" t="s">
        <v>203</v>
      </c>
      <c r="M40" s="6" t="s">
        <v>204</v>
      </c>
      <c r="N40" s="6"/>
      <c r="O40" s="17"/>
    </row>
    <row r="41" ht="15.75" hidden="1" customHeight="1">
      <c r="A41" s="5">
        <v>202.0</v>
      </c>
      <c r="B41" s="5">
        <v>4.0</v>
      </c>
      <c r="C41" s="6" t="s">
        <v>187</v>
      </c>
      <c r="D41" s="6" t="s">
        <v>188</v>
      </c>
      <c r="E41" s="6" t="s">
        <v>17</v>
      </c>
      <c r="F41" s="7" t="s">
        <v>199</v>
      </c>
      <c r="G41" s="7" t="s">
        <v>200</v>
      </c>
      <c r="H41" s="6" t="s">
        <v>110</v>
      </c>
      <c r="I41" s="6" t="s">
        <v>201</v>
      </c>
      <c r="J41" s="6" t="s">
        <v>202</v>
      </c>
      <c r="K41" s="6" t="s">
        <v>205</v>
      </c>
      <c r="L41" s="9" t="s">
        <v>42</v>
      </c>
      <c r="M41" s="6" t="s">
        <v>43</v>
      </c>
      <c r="N41" s="6" t="s">
        <v>206</v>
      </c>
      <c r="O41" s="17"/>
    </row>
    <row r="42" ht="15.75" hidden="1" customHeight="1">
      <c r="A42" s="5">
        <v>216.0</v>
      </c>
      <c r="B42" s="5">
        <v>4.0</v>
      </c>
      <c r="C42" s="6" t="s">
        <v>187</v>
      </c>
      <c r="D42" s="6" t="s">
        <v>188</v>
      </c>
      <c r="E42" s="6" t="s">
        <v>17</v>
      </c>
      <c r="F42" s="7" t="s">
        <v>207</v>
      </c>
      <c r="G42" s="7" t="s">
        <v>208</v>
      </c>
      <c r="H42" s="6" t="s">
        <v>19</v>
      </c>
      <c r="I42" s="18" t="s">
        <v>209</v>
      </c>
      <c r="J42" s="6" t="s">
        <v>209</v>
      </c>
      <c r="K42" s="6" t="s">
        <v>26</v>
      </c>
      <c r="L42" s="6" t="s">
        <v>22</v>
      </c>
      <c r="M42" s="6" t="s">
        <v>210</v>
      </c>
      <c r="N42" s="6"/>
      <c r="O42" s="4"/>
    </row>
    <row r="43" ht="15.75" hidden="1" customHeight="1">
      <c r="A43" s="5">
        <v>215.0</v>
      </c>
      <c r="B43" s="5">
        <v>4.0</v>
      </c>
      <c r="C43" s="6" t="s">
        <v>187</v>
      </c>
      <c r="D43" s="6" t="s">
        <v>188</v>
      </c>
      <c r="E43" s="6" t="s">
        <v>17</v>
      </c>
      <c r="F43" s="7" t="s">
        <v>211</v>
      </c>
      <c r="G43" s="7" t="s">
        <v>212</v>
      </c>
      <c r="H43" s="6" t="s">
        <v>19</v>
      </c>
      <c r="I43" s="18" t="s">
        <v>79</v>
      </c>
      <c r="J43" s="6" t="s">
        <v>79</v>
      </c>
      <c r="K43" s="6" t="s">
        <v>26</v>
      </c>
      <c r="L43" s="6" t="s">
        <v>22</v>
      </c>
      <c r="M43" s="6" t="s">
        <v>210</v>
      </c>
      <c r="N43" s="6"/>
      <c r="O43" s="4"/>
    </row>
    <row r="44" ht="15.75" hidden="1" customHeight="1">
      <c r="A44" s="5">
        <v>209.0</v>
      </c>
      <c r="B44" s="5">
        <v>4.0</v>
      </c>
      <c r="C44" s="6" t="s">
        <v>187</v>
      </c>
      <c r="D44" s="6" t="s">
        <v>188</v>
      </c>
      <c r="E44" s="6" t="s">
        <v>17</v>
      </c>
      <c r="F44" s="7" t="s">
        <v>213</v>
      </c>
      <c r="G44" s="7" t="s">
        <v>214</v>
      </c>
      <c r="H44" s="6" t="s">
        <v>215</v>
      </c>
      <c r="I44" s="8" t="s">
        <v>31</v>
      </c>
      <c r="J44" s="6" t="s">
        <v>31</v>
      </c>
      <c r="K44" s="6" t="s">
        <v>41</v>
      </c>
      <c r="L44" s="10" t="s">
        <v>216</v>
      </c>
      <c r="M44" s="6" t="s">
        <v>217</v>
      </c>
      <c r="N44" s="6" t="s">
        <v>218</v>
      </c>
      <c r="O44" s="4"/>
    </row>
    <row r="45" ht="15.75" hidden="1" customHeight="1">
      <c r="A45" s="5">
        <v>210.0</v>
      </c>
      <c r="B45" s="5">
        <v>4.0</v>
      </c>
      <c r="C45" s="6" t="s">
        <v>187</v>
      </c>
      <c r="D45" s="6" t="s">
        <v>188</v>
      </c>
      <c r="E45" s="6" t="s">
        <v>17</v>
      </c>
      <c r="F45" s="7" t="s">
        <v>219</v>
      </c>
      <c r="G45" s="7" t="s">
        <v>220</v>
      </c>
      <c r="H45" s="6" t="s">
        <v>215</v>
      </c>
      <c r="I45" s="8" t="s">
        <v>35</v>
      </c>
      <c r="J45" s="6" t="s">
        <v>35</v>
      </c>
      <c r="K45" s="6" t="s">
        <v>41</v>
      </c>
      <c r="L45" s="10" t="s">
        <v>216</v>
      </c>
      <c r="M45" s="6" t="s">
        <v>217</v>
      </c>
      <c r="N45" s="6" t="s">
        <v>218</v>
      </c>
      <c r="O45" s="4"/>
    </row>
    <row r="46" ht="15.75" hidden="1" customHeight="1">
      <c r="A46" s="5">
        <v>221.0</v>
      </c>
      <c r="B46" s="5">
        <v>4.0</v>
      </c>
      <c r="C46" s="6" t="s">
        <v>187</v>
      </c>
      <c r="D46" s="6" t="s">
        <v>188</v>
      </c>
      <c r="E46" s="6" t="s">
        <v>17</v>
      </c>
      <c r="F46" s="7" t="s">
        <v>221</v>
      </c>
      <c r="G46" s="7" t="s">
        <v>222</v>
      </c>
      <c r="H46" s="6" t="s">
        <v>223</v>
      </c>
      <c r="I46" s="8" t="s">
        <v>92</v>
      </c>
      <c r="J46" s="6" t="s">
        <v>92</v>
      </c>
      <c r="K46" s="6" t="s">
        <v>157</v>
      </c>
      <c r="L46" s="6" t="s">
        <v>224</v>
      </c>
      <c r="M46" s="6" t="s">
        <v>94</v>
      </c>
      <c r="N46" s="6"/>
      <c r="O46" s="4"/>
    </row>
    <row r="47" ht="15.75" hidden="1" customHeight="1">
      <c r="A47" s="5">
        <v>230.0</v>
      </c>
      <c r="B47" s="5">
        <v>4.0</v>
      </c>
      <c r="C47" s="6" t="s">
        <v>187</v>
      </c>
      <c r="D47" s="6" t="s">
        <v>188</v>
      </c>
      <c r="E47" s="6" t="s">
        <v>17</v>
      </c>
      <c r="F47" s="7" t="s">
        <v>225</v>
      </c>
      <c r="G47" s="7" t="s">
        <v>226</v>
      </c>
      <c r="H47" s="6" t="s">
        <v>227</v>
      </c>
      <c r="I47" s="8" t="s">
        <v>228</v>
      </c>
      <c r="J47" s="6" t="s">
        <v>76</v>
      </c>
      <c r="K47" s="6" t="s">
        <v>41</v>
      </c>
      <c r="L47" s="6" t="s">
        <v>118</v>
      </c>
      <c r="M47" s="10" t="s">
        <v>229</v>
      </c>
      <c r="N47" s="6"/>
      <c r="O47" s="4"/>
    </row>
    <row r="48" ht="15.75" hidden="1" customHeight="1">
      <c r="A48" s="5">
        <v>179.0</v>
      </c>
      <c r="B48" s="5">
        <v>4.0</v>
      </c>
      <c r="C48" s="6" t="s">
        <v>187</v>
      </c>
      <c r="D48" s="6" t="s">
        <v>188</v>
      </c>
      <c r="E48" s="6" t="s">
        <v>17</v>
      </c>
      <c r="F48" s="7" t="s">
        <v>230</v>
      </c>
      <c r="G48" s="7" t="s">
        <v>231</v>
      </c>
      <c r="H48" s="6" t="s">
        <v>110</v>
      </c>
      <c r="I48" s="8" t="s">
        <v>232</v>
      </c>
      <c r="J48" s="6" t="s">
        <v>40</v>
      </c>
      <c r="K48" s="6" t="s">
        <v>41</v>
      </c>
      <c r="L48" s="9" t="s">
        <v>42</v>
      </c>
      <c r="M48" s="9" t="s">
        <v>43</v>
      </c>
      <c r="N48" s="6" t="s">
        <v>233</v>
      </c>
      <c r="O48" s="17"/>
    </row>
    <row r="49" ht="15.75" hidden="1" customHeight="1">
      <c r="A49" s="5">
        <v>175.0</v>
      </c>
      <c r="B49" s="5">
        <v>4.0</v>
      </c>
      <c r="C49" s="6" t="s">
        <v>187</v>
      </c>
      <c r="D49" s="6" t="s">
        <v>188</v>
      </c>
      <c r="E49" s="6" t="s">
        <v>17</v>
      </c>
      <c r="F49" s="7" t="s">
        <v>234</v>
      </c>
      <c r="G49" s="7" t="s">
        <v>235</v>
      </c>
      <c r="H49" s="6" t="s">
        <v>110</v>
      </c>
      <c r="I49" s="8" t="s">
        <v>236</v>
      </c>
      <c r="J49" s="6" t="s">
        <v>40</v>
      </c>
      <c r="K49" s="6" t="s">
        <v>41</v>
      </c>
      <c r="L49" s="6" t="s">
        <v>42</v>
      </c>
      <c r="M49" s="6" t="s">
        <v>43</v>
      </c>
      <c r="N49" s="6" t="s">
        <v>44</v>
      </c>
      <c r="O49" s="17"/>
    </row>
    <row r="50" ht="15.75" hidden="1" customHeight="1">
      <c r="A50" s="5">
        <v>227.0</v>
      </c>
      <c r="B50" s="5">
        <v>4.0</v>
      </c>
      <c r="C50" s="6" t="s">
        <v>187</v>
      </c>
      <c r="D50" s="6" t="s">
        <v>188</v>
      </c>
      <c r="E50" s="6" t="s">
        <v>17</v>
      </c>
      <c r="F50" s="7" t="s">
        <v>237</v>
      </c>
      <c r="G50" s="7" t="s">
        <v>238</v>
      </c>
      <c r="H50" s="6" t="s">
        <v>21</v>
      </c>
      <c r="I50" s="9" t="s">
        <v>239</v>
      </c>
      <c r="J50" s="9" t="s">
        <v>240</v>
      </c>
      <c r="K50" s="9" t="s">
        <v>21</v>
      </c>
      <c r="L50" s="6" t="s">
        <v>118</v>
      </c>
      <c r="M50" s="6" t="s">
        <v>241</v>
      </c>
      <c r="N50" s="6"/>
      <c r="O50" s="4"/>
    </row>
    <row r="51" ht="15.75" hidden="1" customHeight="1">
      <c r="A51" s="5">
        <v>197.0</v>
      </c>
      <c r="B51" s="5">
        <v>4.0</v>
      </c>
      <c r="C51" s="6" t="s">
        <v>187</v>
      </c>
      <c r="D51" s="6" t="s">
        <v>188</v>
      </c>
      <c r="E51" s="6" t="s">
        <v>17</v>
      </c>
      <c r="F51" s="7" t="s">
        <v>242</v>
      </c>
      <c r="G51" s="7" t="s">
        <v>243</v>
      </c>
      <c r="H51" s="6" t="s">
        <v>110</v>
      </c>
      <c r="I51" s="8" t="s">
        <v>47</v>
      </c>
      <c r="J51" s="6" t="s">
        <v>47</v>
      </c>
      <c r="K51" s="6" t="s">
        <v>41</v>
      </c>
      <c r="L51" s="6" t="s">
        <v>49</v>
      </c>
      <c r="M51" s="6" t="s">
        <v>50</v>
      </c>
      <c r="N51" s="6"/>
      <c r="O51" s="17"/>
    </row>
    <row r="52" ht="15.75" hidden="1" customHeight="1">
      <c r="A52" s="5">
        <v>218.0</v>
      </c>
      <c r="B52" s="5">
        <v>4.0</v>
      </c>
      <c r="C52" s="6" t="s">
        <v>187</v>
      </c>
      <c r="D52" s="6" t="s">
        <v>188</v>
      </c>
      <c r="E52" s="6" t="s">
        <v>17</v>
      </c>
      <c r="F52" s="7" t="s">
        <v>244</v>
      </c>
      <c r="G52" s="7" t="s">
        <v>245</v>
      </c>
      <c r="H52" s="6" t="s">
        <v>110</v>
      </c>
      <c r="I52" s="8" t="s">
        <v>246</v>
      </c>
      <c r="J52" s="6" t="s">
        <v>52</v>
      </c>
      <c r="K52" s="6" t="s">
        <v>41</v>
      </c>
      <c r="L52" s="9" t="s">
        <v>42</v>
      </c>
      <c r="M52" s="9" t="s">
        <v>43</v>
      </c>
      <c r="N52" s="6"/>
      <c r="O52" s="17"/>
    </row>
    <row r="53" ht="15.75" hidden="1" customHeight="1">
      <c r="A53" s="5">
        <v>162.0</v>
      </c>
      <c r="B53" s="5">
        <v>4.0</v>
      </c>
      <c r="C53" s="6" t="s">
        <v>187</v>
      </c>
      <c r="D53" s="6" t="s">
        <v>188</v>
      </c>
      <c r="E53" s="6" t="s">
        <v>17</v>
      </c>
      <c r="F53" s="7" t="s">
        <v>247</v>
      </c>
      <c r="G53" s="7" t="s">
        <v>248</v>
      </c>
      <c r="H53" s="6" t="s">
        <v>110</v>
      </c>
      <c r="I53" s="6" t="s">
        <v>249</v>
      </c>
      <c r="J53" s="6" t="s">
        <v>52</v>
      </c>
      <c r="K53" s="6" t="s">
        <v>41</v>
      </c>
      <c r="L53" s="6" t="s">
        <v>250</v>
      </c>
      <c r="M53" s="6" t="s">
        <v>50</v>
      </c>
      <c r="N53" s="6"/>
      <c r="O53" s="17"/>
    </row>
    <row r="54" ht="15.75" hidden="1" customHeight="1">
      <c r="A54" s="5">
        <v>161.0</v>
      </c>
      <c r="B54" s="5">
        <v>4.0</v>
      </c>
      <c r="C54" s="6" t="s">
        <v>187</v>
      </c>
      <c r="D54" s="6" t="s">
        <v>188</v>
      </c>
      <c r="E54" s="6" t="s">
        <v>17</v>
      </c>
      <c r="F54" s="7" t="s">
        <v>251</v>
      </c>
      <c r="G54" s="7" t="s">
        <v>252</v>
      </c>
      <c r="H54" s="6" t="s">
        <v>110</v>
      </c>
      <c r="I54" s="6" t="s">
        <v>56</v>
      </c>
      <c r="J54" s="6" t="s">
        <v>56</v>
      </c>
      <c r="K54" s="6" t="s">
        <v>41</v>
      </c>
      <c r="L54" s="6" t="s">
        <v>253</v>
      </c>
      <c r="M54" s="6" t="s">
        <v>254</v>
      </c>
      <c r="N54" s="6"/>
      <c r="O54" s="17"/>
    </row>
    <row r="55" ht="15.75" hidden="1" customHeight="1">
      <c r="A55" s="5">
        <v>159.0</v>
      </c>
      <c r="B55" s="5">
        <v>4.0</v>
      </c>
      <c r="C55" s="6" t="s">
        <v>187</v>
      </c>
      <c r="D55" s="6" t="s">
        <v>188</v>
      </c>
      <c r="E55" s="6" t="s">
        <v>17</v>
      </c>
      <c r="F55" s="7" t="s">
        <v>255</v>
      </c>
      <c r="G55" s="7" t="s">
        <v>256</v>
      </c>
      <c r="H55" s="6" t="s">
        <v>257</v>
      </c>
      <c r="I55" s="6" t="s">
        <v>60</v>
      </c>
      <c r="J55" s="6" t="s">
        <v>61</v>
      </c>
      <c r="K55" s="6" t="s">
        <v>41</v>
      </c>
      <c r="L55" s="9" t="s">
        <v>62</v>
      </c>
      <c r="M55" s="10" t="s">
        <v>258</v>
      </c>
      <c r="N55" s="6"/>
      <c r="O55" s="4"/>
    </row>
    <row r="56" ht="15.75" hidden="1" customHeight="1">
      <c r="A56" s="5">
        <v>180.0</v>
      </c>
      <c r="B56" s="5">
        <v>4.0</v>
      </c>
      <c r="C56" s="6" t="s">
        <v>187</v>
      </c>
      <c r="D56" s="6" t="s">
        <v>188</v>
      </c>
      <c r="E56" s="6" t="s">
        <v>17</v>
      </c>
      <c r="F56" s="7" t="s">
        <v>259</v>
      </c>
      <c r="G56" s="7" t="s">
        <v>260</v>
      </c>
      <c r="H56" s="6" t="s">
        <v>110</v>
      </c>
      <c r="I56" s="6" t="s">
        <v>261</v>
      </c>
      <c r="J56" s="6" t="s">
        <v>262</v>
      </c>
      <c r="K56" s="6" t="s">
        <v>41</v>
      </c>
      <c r="L56" s="10" t="s">
        <v>263</v>
      </c>
      <c r="M56" s="6" t="s">
        <v>264</v>
      </c>
      <c r="N56" s="6" t="s">
        <v>203</v>
      </c>
      <c r="O56" s="17"/>
    </row>
    <row r="57" ht="15.75" hidden="1" customHeight="1">
      <c r="A57" s="5">
        <v>163.0</v>
      </c>
      <c r="B57" s="5">
        <v>4.0</v>
      </c>
      <c r="C57" s="6" t="s">
        <v>187</v>
      </c>
      <c r="D57" s="6" t="s">
        <v>188</v>
      </c>
      <c r="E57" s="6" t="s">
        <v>17</v>
      </c>
      <c r="F57" s="7" t="s">
        <v>265</v>
      </c>
      <c r="G57" s="7" t="s">
        <v>266</v>
      </c>
      <c r="H57" s="6" t="s">
        <v>110</v>
      </c>
      <c r="I57" s="6" t="s">
        <v>267</v>
      </c>
      <c r="J57" s="6" t="s">
        <v>268</v>
      </c>
      <c r="K57" s="6" t="s">
        <v>41</v>
      </c>
      <c r="L57" s="6" t="s">
        <v>269</v>
      </c>
      <c r="M57" s="6" t="s">
        <v>50</v>
      </c>
      <c r="N57" s="6"/>
      <c r="O57" s="17"/>
    </row>
    <row r="58" ht="15.75" hidden="1" customHeight="1">
      <c r="A58" s="5">
        <v>198.0</v>
      </c>
      <c r="B58" s="5">
        <v>4.0</v>
      </c>
      <c r="C58" s="6" t="s">
        <v>187</v>
      </c>
      <c r="D58" s="6" t="s">
        <v>188</v>
      </c>
      <c r="E58" s="6" t="s">
        <v>17</v>
      </c>
      <c r="F58" s="7" t="s">
        <v>270</v>
      </c>
      <c r="G58" s="7" t="s">
        <v>271</v>
      </c>
      <c r="H58" s="6" t="s">
        <v>110</v>
      </c>
      <c r="I58" s="8" t="s">
        <v>272</v>
      </c>
      <c r="J58" s="6" t="s">
        <v>154</v>
      </c>
      <c r="K58" s="6" t="s">
        <v>41</v>
      </c>
      <c r="L58" s="9" t="s">
        <v>263</v>
      </c>
      <c r="M58" s="6" t="s">
        <v>273</v>
      </c>
      <c r="N58" s="6"/>
      <c r="O58" s="17"/>
    </row>
    <row r="59" ht="15.75" hidden="1" customHeight="1">
      <c r="A59" s="5">
        <v>176.0</v>
      </c>
      <c r="B59" s="5">
        <v>4.0</v>
      </c>
      <c r="C59" s="6" t="s">
        <v>187</v>
      </c>
      <c r="D59" s="6" t="s">
        <v>188</v>
      </c>
      <c r="E59" s="6" t="s">
        <v>17</v>
      </c>
      <c r="F59" s="7" t="s">
        <v>274</v>
      </c>
      <c r="G59" s="7" t="s">
        <v>275</v>
      </c>
      <c r="H59" s="6" t="s">
        <v>110</v>
      </c>
      <c r="I59" s="8" t="s">
        <v>276</v>
      </c>
      <c r="J59" s="6" t="s">
        <v>154</v>
      </c>
      <c r="K59" s="6" t="s">
        <v>41</v>
      </c>
      <c r="L59" s="9" t="s">
        <v>263</v>
      </c>
      <c r="M59" s="6" t="s">
        <v>273</v>
      </c>
      <c r="N59" s="6"/>
      <c r="O59" s="17"/>
    </row>
    <row r="60" ht="15.75" hidden="1" customHeight="1">
      <c r="A60" s="5">
        <v>225.0</v>
      </c>
      <c r="B60" s="5">
        <v>4.0</v>
      </c>
      <c r="C60" s="6" t="s">
        <v>187</v>
      </c>
      <c r="D60" s="6" t="s">
        <v>188</v>
      </c>
      <c r="E60" s="6" t="s">
        <v>17</v>
      </c>
      <c r="F60" s="7" t="s">
        <v>277</v>
      </c>
      <c r="G60" s="7" t="s">
        <v>278</v>
      </c>
      <c r="H60" s="6" t="s">
        <v>96</v>
      </c>
      <c r="I60" s="6" t="s">
        <v>279</v>
      </c>
      <c r="J60" s="6" t="s">
        <v>98</v>
      </c>
      <c r="K60" s="6" t="s">
        <v>157</v>
      </c>
      <c r="L60" s="6" t="s">
        <v>158</v>
      </c>
      <c r="M60" s="6" t="s">
        <v>280</v>
      </c>
      <c r="N60" s="6" t="s">
        <v>23</v>
      </c>
      <c r="O60" s="17"/>
    </row>
    <row r="61" ht="15.75" hidden="1" customHeight="1">
      <c r="A61" s="5">
        <v>171.0</v>
      </c>
      <c r="B61" s="5">
        <v>4.0</v>
      </c>
      <c r="C61" s="6" t="s">
        <v>187</v>
      </c>
      <c r="D61" s="6" t="s">
        <v>188</v>
      </c>
      <c r="E61" s="6" t="s">
        <v>17</v>
      </c>
      <c r="F61" s="7" t="s">
        <v>281</v>
      </c>
      <c r="G61" s="7" t="s">
        <v>282</v>
      </c>
      <c r="H61" s="6" t="s">
        <v>283</v>
      </c>
      <c r="I61" s="6" t="s">
        <v>284</v>
      </c>
      <c r="J61" s="6" t="s">
        <v>284</v>
      </c>
      <c r="K61" s="6" t="s">
        <v>285</v>
      </c>
      <c r="L61" s="6" t="s">
        <v>286</v>
      </c>
      <c r="M61" s="6"/>
      <c r="N61" s="6"/>
      <c r="O61" s="4"/>
    </row>
    <row r="62" ht="15.75" hidden="1" customHeight="1">
      <c r="A62" s="5">
        <v>222.0</v>
      </c>
      <c r="B62" s="5">
        <v>4.0</v>
      </c>
      <c r="C62" s="6" t="s">
        <v>187</v>
      </c>
      <c r="D62" s="6" t="s">
        <v>188</v>
      </c>
      <c r="E62" s="6" t="s">
        <v>17</v>
      </c>
      <c r="F62" s="7" t="s">
        <v>287</v>
      </c>
      <c r="G62" s="7" t="s">
        <v>288</v>
      </c>
      <c r="H62" s="6" t="s">
        <v>223</v>
      </c>
      <c r="I62" s="6" t="s">
        <v>289</v>
      </c>
      <c r="J62" s="6" t="s">
        <v>289</v>
      </c>
      <c r="K62" s="6" t="s">
        <v>285</v>
      </c>
      <c r="L62" s="6" t="s">
        <v>224</v>
      </c>
      <c r="M62" s="6"/>
      <c r="N62" s="6"/>
      <c r="O62" s="4">
        <v>0.0</v>
      </c>
    </row>
    <row r="63" ht="15.75" hidden="1" customHeight="1">
      <c r="A63" s="5">
        <v>224.0</v>
      </c>
      <c r="B63" s="5">
        <v>4.0</v>
      </c>
      <c r="C63" s="6" t="s">
        <v>187</v>
      </c>
      <c r="D63" s="6" t="s">
        <v>188</v>
      </c>
      <c r="E63" s="6" t="s">
        <v>17</v>
      </c>
      <c r="F63" s="7" t="s">
        <v>290</v>
      </c>
      <c r="G63" s="7" t="s">
        <v>291</v>
      </c>
      <c r="H63" s="6" t="s">
        <v>223</v>
      </c>
      <c r="I63" s="16" t="s">
        <v>292</v>
      </c>
      <c r="J63" s="6" t="s">
        <v>292</v>
      </c>
      <c r="K63" s="6" t="s">
        <v>285</v>
      </c>
      <c r="L63" s="6" t="s">
        <v>293</v>
      </c>
      <c r="M63" s="6"/>
      <c r="N63" s="6"/>
      <c r="O63" s="4"/>
    </row>
    <row r="64" ht="15.75" hidden="1" customHeight="1">
      <c r="A64" s="5">
        <v>223.0</v>
      </c>
      <c r="B64" s="5">
        <v>4.0</v>
      </c>
      <c r="C64" s="6" t="s">
        <v>187</v>
      </c>
      <c r="D64" s="6" t="s">
        <v>188</v>
      </c>
      <c r="E64" s="6" t="s">
        <v>17</v>
      </c>
      <c r="F64" s="7" t="s">
        <v>294</v>
      </c>
      <c r="G64" s="7" t="s">
        <v>295</v>
      </c>
      <c r="H64" s="6" t="s">
        <v>223</v>
      </c>
      <c r="I64" s="6" t="s">
        <v>296</v>
      </c>
      <c r="J64" s="6" t="s">
        <v>297</v>
      </c>
      <c r="K64" s="6" t="s">
        <v>26</v>
      </c>
      <c r="L64" s="6" t="s">
        <v>298</v>
      </c>
      <c r="M64" s="6" t="s">
        <v>299</v>
      </c>
      <c r="N64" s="6" t="s">
        <v>300</v>
      </c>
      <c r="O64" s="4"/>
    </row>
    <row r="65" ht="15.75" hidden="1" customHeight="1">
      <c r="A65" s="5">
        <v>182.0</v>
      </c>
      <c r="B65" s="5">
        <v>4.0</v>
      </c>
      <c r="C65" s="6" t="s">
        <v>187</v>
      </c>
      <c r="D65" s="6" t="s">
        <v>188</v>
      </c>
      <c r="E65" s="6" t="s">
        <v>17</v>
      </c>
      <c r="F65" s="7" t="s">
        <v>301</v>
      </c>
      <c r="G65" s="7" t="s">
        <v>302</v>
      </c>
      <c r="H65" s="6" t="s">
        <v>110</v>
      </c>
      <c r="I65" s="6" t="s">
        <v>303</v>
      </c>
      <c r="J65" s="6" t="s">
        <v>111</v>
      </c>
      <c r="K65" s="6" t="s">
        <v>162</v>
      </c>
      <c r="L65" s="6" t="s">
        <v>203</v>
      </c>
      <c r="M65" s="6" t="s">
        <v>304</v>
      </c>
      <c r="N65" s="6"/>
      <c r="O65" s="17"/>
    </row>
    <row r="66" ht="15.75" hidden="1" customHeight="1">
      <c r="A66" s="5">
        <v>177.0</v>
      </c>
      <c r="B66" s="5">
        <v>4.0</v>
      </c>
      <c r="C66" s="6" t="s">
        <v>187</v>
      </c>
      <c r="D66" s="6" t="s">
        <v>188</v>
      </c>
      <c r="E66" s="6" t="s">
        <v>17</v>
      </c>
      <c r="F66" s="7" t="s">
        <v>305</v>
      </c>
      <c r="G66" s="7" t="s">
        <v>306</v>
      </c>
      <c r="H66" s="6" t="s">
        <v>110</v>
      </c>
      <c r="I66" s="8" t="s">
        <v>307</v>
      </c>
      <c r="J66" s="6" t="s">
        <v>307</v>
      </c>
      <c r="K66" s="6" t="s">
        <v>308</v>
      </c>
      <c r="L66" s="6" t="s">
        <v>53</v>
      </c>
      <c r="M66" s="6" t="s">
        <v>309</v>
      </c>
      <c r="N66" s="6"/>
      <c r="O66" s="6"/>
    </row>
    <row r="67" ht="15.75" hidden="1" customHeight="1">
      <c r="A67" s="5">
        <v>173.0</v>
      </c>
      <c r="B67" s="5">
        <v>4.0</v>
      </c>
      <c r="C67" s="6" t="s">
        <v>187</v>
      </c>
      <c r="D67" s="6" t="s">
        <v>188</v>
      </c>
      <c r="E67" s="6" t="s">
        <v>17</v>
      </c>
      <c r="F67" s="7" t="s">
        <v>310</v>
      </c>
      <c r="G67" s="7" t="s">
        <v>311</v>
      </c>
      <c r="H67" s="6" t="s">
        <v>283</v>
      </c>
      <c r="I67" s="16" t="s">
        <v>312</v>
      </c>
      <c r="J67" s="6" t="s">
        <v>312</v>
      </c>
      <c r="K67" s="6" t="s">
        <v>313</v>
      </c>
      <c r="L67" s="6" t="s">
        <v>73</v>
      </c>
      <c r="M67" s="6"/>
      <c r="N67" s="6"/>
      <c r="O67" s="4"/>
    </row>
    <row r="68" ht="15.75" hidden="1" customHeight="1">
      <c r="A68" s="5">
        <v>228.0</v>
      </c>
      <c r="B68" s="5">
        <v>4.0</v>
      </c>
      <c r="C68" s="6" t="s">
        <v>187</v>
      </c>
      <c r="D68" s="6" t="s">
        <v>188</v>
      </c>
      <c r="E68" s="6" t="s">
        <v>17</v>
      </c>
      <c r="F68" s="7" t="s">
        <v>314</v>
      </c>
      <c r="G68" s="7" t="s">
        <v>315</v>
      </c>
      <c r="H68" s="6" t="s">
        <v>122</v>
      </c>
      <c r="I68" s="6" t="s">
        <v>117</v>
      </c>
      <c r="J68" s="6" t="s">
        <v>80</v>
      </c>
      <c r="K68" s="6" t="s">
        <v>21</v>
      </c>
      <c r="L68" s="6" t="s">
        <v>118</v>
      </c>
      <c r="M68" s="6" t="s">
        <v>316</v>
      </c>
      <c r="N68" s="6"/>
      <c r="O68" s="4"/>
    </row>
    <row r="69" ht="15.75" hidden="1" customHeight="1">
      <c r="A69" s="5">
        <v>172.0</v>
      </c>
      <c r="B69" s="5">
        <v>4.0</v>
      </c>
      <c r="C69" s="6" t="s">
        <v>187</v>
      </c>
      <c r="D69" s="6" t="s">
        <v>188</v>
      </c>
      <c r="E69" s="6" t="s">
        <v>17</v>
      </c>
      <c r="F69" s="7" t="s">
        <v>317</v>
      </c>
      <c r="G69" s="7" t="s">
        <v>318</v>
      </c>
      <c r="H69" s="6" t="s">
        <v>283</v>
      </c>
      <c r="I69" s="6" t="s">
        <v>319</v>
      </c>
      <c r="J69" s="6" t="s">
        <v>319</v>
      </c>
      <c r="K69" s="6" t="s">
        <v>313</v>
      </c>
      <c r="L69" s="6" t="s">
        <v>73</v>
      </c>
      <c r="M69" s="6" t="s">
        <v>320</v>
      </c>
      <c r="N69" s="6"/>
      <c r="O69" s="4"/>
    </row>
    <row r="70" ht="15.75" hidden="1" customHeight="1">
      <c r="A70" s="5">
        <v>279.0</v>
      </c>
      <c r="B70" s="5">
        <v>10.0</v>
      </c>
      <c r="C70" s="6" t="s">
        <v>321</v>
      </c>
      <c r="D70" s="6" t="s">
        <v>322</v>
      </c>
      <c r="E70" s="6" t="s">
        <v>17</v>
      </c>
      <c r="F70" s="7" t="s">
        <v>323</v>
      </c>
      <c r="G70" s="7" t="s">
        <v>323</v>
      </c>
      <c r="H70" s="6" t="s">
        <v>324</v>
      </c>
      <c r="I70" s="10" t="s">
        <v>325</v>
      </c>
      <c r="J70" s="10" t="s">
        <v>325</v>
      </c>
      <c r="K70" s="10" t="s">
        <v>326</v>
      </c>
      <c r="L70" s="10" t="s">
        <v>327</v>
      </c>
      <c r="M70" s="6"/>
      <c r="N70" s="6"/>
      <c r="O70" s="4"/>
    </row>
    <row r="71" ht="15.75" hidden="1" customHeight="1">
      <c r="A71" s="5">
        <v>253.0</v>
      </c>
      <c r="B71" s="5">
        <v>10.0</v>
      </c>
      <c r="C71" s="6" t="s">
        <v>321</v>
      </c>
      <c r="D71" s="6" t="s">
        <v>322</v>
      </c>
      <c r="E71" s="6" t="s">
        <v>17</v>
      </c>
      <c r="F71" s="7" t="s">
        <v>328</v>
      </c>
      <c r="G71" s="7" t="s">
        <v>329</v>
      </c>
      <c r="H71" s="6" t="s">
        <v>86</v>
      </c>
      <c r="I71" s="6" t="s">
        <v>330</v>
      </c>
      <c r="J71" s="6" t="s">
        <v>330</v>
      </c>
      <c r="K71" s="6" t="s">
        <v>331</v>
      </c>
      <c r="L71" s="6" t="s">
        <v>304</v>
      </c>
      <c r="M71" s="6" t="s">
        <v>332</v>
      </c>
      <c r="N71" s="6" t="s">
        <v>333</v>
      </c>
      <c r="O71" s="17"/>
    </row>
    <row r="72" ht="15.75" hidden="1" customHeight="1">
      <c r="A72" s="5">
        <v>282.0</v>
      </c>
      <c r="B72" s="5">
        <v>10.0</v>
      </c>
      <c r="C72" s="6" t="s">
        <v>321</v>
      </c>
      <c r="D72" s="6" t="s">
        <v>322</v>
      </c>
      <c r="E72" s="6" t="s">
        <v>17</v>
      </c>
      <c r="F72" s="7" t="s">
        <v>334</v>
      </c>
      <c r="G72" s="7" t="s">
        <v>334</v>
      </c>
      <c r="H72" s="6" t="s">
        <v>324</v>
      </c>
      <c r="I72" s="9" t="s">
        <v>335</v>
      </c>
      <c r="J72" s="9" t="s">
        <v>335</v>
      </c>
      <c r="K72" s="9" t="s">
        <v>326</v>
      </c>
      <c r="L72" s="10" t="s">
        <v>336</v>
      </c>
      <c r="M72" s="6"/>
      <c r="N72" s="6"/>
    </row>
    <row r="73" ht="15.75" hidden="1" customHeight="1">
      <c r="A73" s="5">
        <v>248.0</v>
      </c>
      <c r="B73" s="5">
        <v>10.0</v>
      </c>
      <c r="C73" s="6" t="s">
        <v>321</v>
      </c>
      <c r="D73" s="6" t="s">
        <v>322</v>
      </c>
      <c r="E73" s="6" t="s">
        <v>17</v>
      </c>
      <c r="F73" s="7" t="s">
        <v>337</v>
      </c>
      <c r="G73" s="7" t="s">
        <v>338</v>
      </c>
      <c r="H73" s="6" t="s">
        <v>21</v>
      </c>
      <c r="I73" s="6" t="s">
        <v>139</v>
      </c>
      <c r="J73" s="6" t="s">
        <v>139</v>
      </c>
      <c r="K73" s="6" t="s">
        <v>21</v>
      </c>
      <c r="L73" s="6" t="s">
        <v>53</v>
      </c>
      <c r="M73" s="6" t="s">
        <v>140</v>
      </c>
      <c r="N73" s="6"/>
    </row>
    <row r="74" ht="15.75" hidden="1" customHeight="1">
      <c r="A74" s="5">
        <v>258.0</v>
      </c>
      <c r="B74" s="5">
        <v>10.0</v>
      </c>
      <c r="C74" s="6" t="s">
        <v>321</v>
      </c>
      <c r="D74" s="6" t="s">
        <v>322</v>
      </c>
      <c r="E74" s="6" t="s">
        <v>17</v>
      </c>
      <c r="F74" s="7" t="s">
        <v>339</v>
      </c>
      <c r="G74" s="7" t="s">
        <v>339</v>
      </c>
      <c r="H74" s="6" t="s">
        <v>340</v>
      </c>
      <c r="I74" s="6" t="s">
        <v>341</v>
      </c>
      <c r="J74" s="6" t="s">
        <v>341</v>
      </c>
      <c r="K74" s="6" t="s">
        <v>308</v>
      </c>
      <c r="L74" s="6" t="s">
        <v>22</v>
      </c>
      <c r="M74" s="6" t="s">
        <v>342</v>
      </c>
      <c r="N74" s="6" t="s">
        <v>203</v>
      </c>
      <c r="O74" s="4"/>
    </row>
    <row r="75" ht="15.75" hidden="1" customHeight="1">
      <c r="A75" s="5">
        <v>264.0</v>
      </c>
      <c r="B75" s="5">
        <v>10.0</v>
      </c>
      <c r="C75" s="6" t="s">
        <v>321</v>
      </c>
      <c r="D75" s="6" t="s">
        <v>322</v>
      </c>
      <c r="E75" s="6" t="s">
        <v>17</v>
      </c>
      <c r="F75" s="7" t="s">
        <v>343</v>
      </c>
      <c r="G75" s="7" t="s">
        <v>344</v>
      </c>
      <c r="H75" s="6" t="s">
        <v>345</v>
      </c>
      <c r="I75" s="6" t="s">
        <v>201</v>
      </c>
      <c r="J75" s="6" t="s">
        <v>202</v>
      </c>
      <c r="K75" s="6" t="s">
        <v>205</v>
      </c>
      <c r="L75" s="6" t="s">
        <v>42</v>
      </c>
      <c r="M75" s="6" t="s">
        <v>346</v>
      </c>
      <c r="N75" s="6"/>
      <c r="O75" s="17"/>
    </row>
    <row r="76" ht="15.75" hidden="1" customHeight="1">
      <c r="A76" s="5">
        <v>249.0</v>
      </c>
      <c r="B76" s="5">
        <v>10.0</v>
      </c>
      <c r="C76" s="6" t="s">
        <v>321</v>
      </c>
      <c r="D76" s="6" t="s">
        <v>322</v>
      </c>
      <c r="E76" s="6" t="s">
        <v>17</v>
      </c>
      <c r="F76" s="7" t="s">
        <v>347</v>
      </c>
      <c r="G76" s="7" t="s">
        <v>348</v>
      </c>
      <c r="H76" s="6" t="s">
        <v>21</v>
      </c>
      <c r="I76" s="6" t="s">
        <v>52</v>
      </c>
      <c r="J76" s="6" t="s">
        <v>52</v>
      </c>
      <c r="K76" s="6" t="s">
        <v>21</v>
      </c>
      <c r="L76" s="6" t="s">
        <v>53</v>
      </c>
      <c r="M76" s="6" t="s">
        <v>54</v>
      </c>
      <c r="N76" s="6"/>
    </row>
    <row r="77" ht="15.75" hidden="1" customHeight="1">
      <c r="A77" s="5">
        <v>270.0</v>
      </c>
      <c r="B77" s="5">
        <v>10.0</v>
      </c>
      <c r="C77" s="6" t="s">
        <v>321</v>
      </c>
      <c r="D77" s="6" t="s">
        <v>322</v>
      </c>
      <c r="E77" s="6" t="s">
        <v>17</v>
      </c>
      <c r="F77" s="7" t="s">
        <v>349</v>
      </c>
      <c r="G77" s="7" t="s">
        <v>349</v>
      </c>
      <c r="H77" s="6" t="s">
        <v>122</v>
      </c>
      <c r="I77" s="6" t="s">
        <v>350</v>
      </c>
      <c r="J77" s="6" t="s">
        <v>98</v>
      </c>
      <c r="K77" s="6" t="s">
        <v>41</v>
      </c>
      <c r="L77" s="6" t="s">
        <v>351</v>
      </c>
      <c r="M77" s="6" t="s">
        <v>49</v>
      </c>
      <c r="N77" s="6" t="s">
        <v>23</v>
      </c>
      <c r="O77" s="4"/>
    </row>
    <row r="78" ht="15.75" hidden="1" customHeight="1">
      <c r="A78" s="5">
        <v>250.0</v>
      </c>
      <c r="B78" s="5">
        <v>10.0</v>
      </c>
      <c r="C78" s="6" t="s">
        <v>321</v>
      </c>
      <c r="D78" s="6" t="s">
        <v>322</v>
      </c>
      <c r="E78" s="6" t="s">
        <v>17</v>
      </c>
      <c r="F78" s="7" t="s">
        <v>352</v>
      </c>
      <c r="G78" s="7" t="s">
        <v>352</v>
      </c>
      <c r="H78" s="6" t="s">
        <v>21</v>
      </c>
      <c r="I78" s="9" t="s">
        <v>353</v>
      </c>
      <c r="J78" s="6" t="s">
        <v>354</v>
      </c>
      <c r="K78" s="9" t="s">
        <v>21</v>
      </c>
      <c r="L78" s="9" t="s">
        <v>351</v>
      </c>
      <c r="M78" s="6" t="s">
        <v>355</v>
      </c>
      <c r="N78" s="6"/>
      <c r="O78" s="4"/>
    </row>
    <row r="79" ht="15.75" hidden="1" customHeight="1">
      <c r="A79" s="5">
        <v>256.0</v>
      </c>
      <c r="B79" s="5">
        <v>10.0</v>
      </c>
      <c r="C79" s="6" t="s">
        <v>321</v>
      </c>
      <c r="D79" s="6" t="s">
        <v>322</v>
      </c>
      <c r="E79" s="6" t="s">
        <v>17</v>
      </c>
      <c r="F79" s="7" t="s">
        <v>356</v>
      </c>
      <c r="G79" s="7" t="s">
        <v>357</v>
      </c>
      <c r="H79" s="6" t="s">
        <v>340</v>
      </c>
      <c r="I79" s="6" t="s">
        <v>358</v>
      </c>
      <c r="J79" s="6" t="s">
        <v>358</v>
      </c>
      <c r="K79" s="6" t="s">
        <v>331</v>
      </c>
      <c r="L79" s="6" t="s">
        <v>359</v>
      </c>
      <c r="M79" s="6"/>
      <c r="N79" s="6"/>
      <c r="O79" s="4"/>
    </row>
    <row r="80" ht="15.75" hidden="1" customHeight="1">
      <c r="A80" s="5">
        <v>265.0</v>
      </c>
      <c r="B80" s="5">
        <v>10.0</v>
      </c>
      <c r="C80" s="6" t="s">
        <v>321</v>
      </c>
      <c r="D80" s="6" t="s">
        <v>322</v>
      </c>
      <c r="E80" s="6" t="s">
        <v>17</v>
      </c>
      <c r="F80" s="7" t="s">
        <v>360</v>
      </c>
      <c r="G80" s="7" t="s">
        <v>360</v>
      </c>
      <c r="H80" s="6" t="s">
        <v>345</v>
      </c>
      <c r="I80" s="6" t="s">
        <v>361</v>
      </c>
      <c r="J80" s="6" t="s">
        <v>362</v>
      </c>
      <c r="K80" s="6" t="s">
        <v>103</v>
      </c>
      <c r="L80" s="6" t="s">
        <v>264</v>
      </c>
      <c r="M80" s="6"/>
      <c r="N80" s="6"/>
      <c r="O80" s="17"/>
    </row>
    <row r="81" ht="15.75" hidden="1" customHeight="1">
      <c r="A81" s="5">
        <v>275.0</v>
      </c>
      <c r="B81" s="5">
        <v>10.0</v>
      </c>
      <c r="C81" s="6" t="s">
        <v>321</v>
      </c>
      <c r="D81" s="6" t="s">
        <v>322</v>
      </c>
      <c r="E81" s="6" t="s">
        <v>17</v>
      </c>
      <c r="F81" s="7" t="s">
        <v>363</v>
      </c>
      <c r="G81" s="7" t="s">
        <v>364</v>
      </c>
      <c r="H81" s="6" t="s">
        <v>324</v>
      </c>
      <c r="I81" s="8" t="s">
        <v>365</v>
      </c>
      <c r="J81" s="9" t="s">
        <v>365</v>
      </c>
      <c r="K81" s="9" t="s">
        <v>326</v>
      </c>
      <c r="L81" s="10" t="s">
        <v>366</v>
      </c>
      <c r="M81" s="6"/>
      <c r="N81" s="6"/>
    </row>
    <row r="82" ht="15.75" hidden="1" customHeight="1">
      <c r="A82" s="5">
        <v>261.0</v>
      </c>
      <c r="B82" s="5">
        <v>10.0</v>
      </c>
      <c r="C82" s="6" t="s">
        <v>321</v>
      </c>
      <c r="D82" s="6" t="s">
        <v>322</v>
      </c>
      <c r="E82" s="6" t="s">
        <v>17</v>
      </c>
      <c r="F82" s="7" t="s">
        <v>367</v>
      </c>
      <c r="G82" s="7" t="s">
        <v>367</v>
      </c>
      <c r="H82" s="6" t="s">
        <v>340</v>
      </c>
      <c r="I82" s="6" t="s">
        <v>368</v>
      </c>
      <c r="J82" s="6" t="s">
        <v>111</v>
      </c>
      <c r="K82" s="6" t="s">
        <v>331</v>
      </c>
      <c r="L82" s="6" t="s">
        <v>162</v>
      </c>
      <c r="M82" s="6" t="s">
        <v>203</v>
      </c>
      <c r="N82" s="6" t="s">
        <v>304</v>
      </c>
      <c r="O82" s="4"/>
    </row>
    <row r="83" ht="15.75" hidden="1" customHeight="1">
      <c r="A83" s="19">
        <v>274.0</v>
      </c>
      <c r="B83" s="19">
        <v>10.0</v>
      </c>
      <c r="C83" s="20" t="s">
        <v>321</v>
      </c>
      <c r="D83" s="20" t="s">
        <v>322</v>
      </c>
      <c r="E83" s="20" t="s">
        <v>17</v>
      </c>
      <c r="F83" s="21" t="s">
        <v>369</v>
      </c>
      <c r="G83" s="21" t="s">
        <v>370</v>
      </c>
      <c r="H83" s="20" t="s">
        <v>122</v>
      </c>
      <c r="I83" s="20" t="s">
        <v>307</v>
      </c>
      <c r="J83" s="20" t="s">
        <v>307</v>
      </c>
      <c r="K83" s="20" t="s">
        <v>308</v>
      </c>
      <c r="L83" s="20"/>
      <c r="M83" s="20"/>
      <c r="N83" s="20"/>
      <c r="O83" s="4"/>
    </row>
    <row r="84" ht="15.75" hidden="1" customHeight="1">
      <c r="A84" s="5">
        <v>272.0</v>
      </c>
      <c r="B84" s="5">
        <v>10.0</v>
      </c>
      <c r="C84" s="6" t="s">
        <v>321</v>
      </c>
      <c r="D84" s="6" t="s">
        <v>322</v>
      </c>
      <c r="E84" s="6" t="s">
        <v>17</v>
      </c>
      <c r="F84" s="7" t="s">
        <v>371</v>
      </c>
      <c r="G84" s="7" t="s">
        <v>372</v>
      </c>
      <c r="H84" s="6" t="s">
        <v>122</v>
      </c>
      <c r="I84" s="6" t="s">
        <v>373</v>
      </c>
      <c r="J84" s="6" t="s">
        <v>373</v>
      </c>
      <c r="K84" s="6" t="s">
        <v>81</v>
      </c>
      <c r="L84" s="6" t="s">
        <v>374</v>
      </c>
      <c r="M84" s="6"/>
      <c r="N84" s="6"/>
      <c r="O84" s="4">
        <v>0.0</v>
      </c>
    </row>
    <row r="85" ht="15.75" hidden="1" customHeight="1">
      <c r="A85" s="5">
        <v>269.0</v>
      </c>
      <c r="B85" s="5">
        <v>10.0</v>
      </c>
      <c r="C85" s="6" t="s">
        <v>321</v>
      </c>
      <c r="D85" s="6" t="s">
        <v>322</v>
      </c>
      <c r="E85" s="6" t="s">
        <v>17</v>
      </c>
      <c r="F85" s="7" t="s">
        <v>375</v>
      </c>
      <c r="G85" s="7" t="s">
        <v>376</v>
      </c>
      <c r="H85" s="6" t="s">
        <v>122</v>
      </c>
      <c r="I85" s="6" t="s">
        <v>377</v>
      </c>
      <c r="J85" s="6" t="s">
        <v>80</v>
      </c>
      <c r="K85" s="6" t="s">
        <v>112</v>
      </c>
      <c r="L85" s="6" t="s">
        <v>77</v>
      </c>
      <c r="M85" s="6"/>
      <c r="N85" s="6"/>
      <c r="O85" s="4"/>
    </row>
    <row r="86" ht="15.75" hidden="1" customHeight="1">
      <c r="A86" s="5">
        <v>268.0</v>
      </c>
      <c r="B86" s="5">
        <v>10.0</v>
      </c>
      <c r="C86" s="6" t="s">
        <v>321</v>
      </c>
      <c r="D86" s="6" t="s">
        <v>322</v>
      </c>
      <c r="E86" s="6" t="s">
        <v>17</v>
      </c>
      <c r="F86" s="7" t="s">
        <v>378</v>
      </c>
      <c r="G86" s="7" t="s">
        <v>379</v>
      </c>
      <c r="H86" s="6" t="s">
        <v>122</v>
      </c>
      <c r="I86" s="6" t="s">
        <v>380</v>
      </c>
      <c r="J86" s="6" t="s">
        <v>80</v>
      </c>
      <c r="K86" s="6" t="s">
        <v>112</v>
      </c>
      <c r="L86" s="6" t="s">
        <v>77</v>
      </c>
      <c r="M86" s="6" t="s">
        <v>381</v>
      </c>
      <c r="N86" s="6"/>
      <c r="O86" s="4"/>
    </row>
    <row r="87" ht="15.75" hidden="1" customHeight="1">
      <c r="A87" s="5">
        <v>268.0</v>
      </c>
      <c r="B87" s="5">
        <v>10.0</v>
      </c>
      <c r="C87" s="6" t="s">
        <v>321</v>
      </c>
      <c r="D87" s="6" t="s">
        <v>322</v>
      </c>
      <c r="E87" s="6" t="s">
        <v>17</v>
      </c>
      <c r="F87" s="7" t="s">
        <v>378</v>
      </c>
      <c r="G87" s="7" t="s">
        <v>382</v>
      </c>
      <c r="H87" s="6" t="s">
        <v>122</v>
      </c>
      <c r="I87" s="6" t="s">
        <v>380</v>
      </c>
      <c r="J87" s="6" t="s">
        <v>80</v>
      </c>
      <c r="K87" s="6" t="s">
        <v>112</v>
      </c>
      <c r="L87" s="6" t="s">
        <v>383</v>
      </c>
      <c r="M87" s="9" t="s">
        <v>384</v>
      </c>
      <c r="N87" s="6" t="s">
        <v>385</v>
      </c>
      <c r="O87" s="4"/>
    </row>
    <row r="88" ht="15.75" hidden="1" customHeight="1">
      <c r="A88" s="5">
        <v>271.0</v>
      </c>
      <c r="B88" s="5">
        <v>10.0</v>
      </c>
      <c r="C88" s="6" t="s">
        <v>321</v>
      </c>
      <c r="D88" s="6" t="s">
        <v>322</v>
      </c>
      <c r="E88" s="6" t="s">
        <v>17</v>
      </c>
      <c r="F88" s="7" t="s">
        <v>386</v>
      </c>
      <c r="G88" s="7" t="s">
        <v>387</v>
      </c>
      <c r="H88" s="6" t="s">
        <v>122</v>
      </c>
      <c r="I88" s="8" t="s">
        <v>388</v>
      </c>
      <c r="J88" s="6" t="s">
        <v>388</v>
      </c>
      <c r="K88" s="6" t="s">
        <v>313</v>
      </c>
      <c r="L88" s="6" t="s">
        <v>389</v>
      </c>
      <c r="M88" s="6"/>
      <c r="N88" s="6"/>
      <c r="O88" s="4"/>
    </row>
    <row r="89" ht="15.75" hidden="1" customHeight="1">
      <c r="A89" s="5">
        <v>273.0</v>
      </c>
      <c r="B89" s="5">
        <v>10.0</v>
      </c>
      <c r="C89" s="6" t="s">
        <v>321</v>
      </c>
      <c r="D89" s="6" t="s">
        <v>322</v>
      </c>
      <c r="E89" s="6" t="s">
        <v>17</v>
      </c>
      <c r="F89" s="7" t="s">
        <v>390</v>
      </c>
      <c r="G89" s="7" t="s">
        <v>391</v>
      </c>
      <c r="H89" s="6" t="s">
        <v>122</v>
      </c>
      <c r="I89" s="8" t="s">
        <v>388</v>
      </c>
      <c r="J89" s="6" t="s">
        <v>388</v>
      </c>
      <c r="K89" s="6" t="s">
        <v>313</v>
      </c>
      <c r="L89" s="6" t="s">
        <v>389</v>
      </c>
      <c r="M89" s="6"/>
      <c r="N89" s="6"/>
      <c r="O89" s="4"/>
    </row>
    <row r="90" ht="15.75" hidden="1" customHeight="1">
      <c r="A90" s="5">
        <v>262.0</v>
      </c>
      <c r="B90" s="5">
        <v>10.0</v>
      </c>
      <c r="C90" s="6" t="s">
        <v>321</v>
      </c>
      <c r="D90" s="6" t="s">
        <v>322</v>
      </c>
      <c r="E90" s="6" t="s">
        <v>17</v>
      </c>
      <c r="F90" s="7" t="s">
        <v>392</v>
      </c>
      <c r="G90" s="7" t="s">
        <v>393</v>
      </c>
      <c r="H90" s="6" t="s">
        <v>345</v>
      </c>
      <c r="I90" s="8" t="s">
        <v>394</v>
      </c>
      <c r="J90" s="6" t="s">
        <v>395</v>
      </c>
      <c r="K90" s="6" t="s">
        <v>331</v>
      </c>
      <c r="L90" s="6" t="s">
        <v>264</v>
      </c>
      <c r="M90" s="6" t="s">
        <v>44</v>
      </c>
      <c r="N90" s="6"/>
      <c r="O90" s="17"/>
    </row>
    <row r="91" ht="15.75" hidden="1" customHeight="1">
      <c r="A91" s="5">
        <v>358.0</v>
      </c>
      <c r="B91" s="5">
        <v>5.0</v>
      </c>
      <c r="C91" s="6" t="s">
        <v>396</v>
      </c>
      <c r="D91" s="6" t="s">
        <v>397</v>
      </c>
      <c r="E91" s="6" t="s">
        <v>17</v>
      </c>
      <c r="F91" s="7" t="s">
        <v>189</v>
      </c>
      <c r="G91" s="7" t="s">
        <v>398</v>
      </c>
      <c r="H91" s="6" t="s">
        <v>191</v>
      </c>
      <c r="I91" s="6" t="s">
        <v>192</v>
      </c>
      <c r="J91" s="6" t="s">
        <v>192</v>
      </c>
      <c r="K91" s="6" t="s">
        <v>162</v>
      </c>
      <c r="L91" s="6" t="s">
        <v>399</v>
      </c>
      <c r="M91" s="6" t="s">
        <v>194</v>
      </c>
      <c r="N91" s="6"/>
      <c r="O91" s="4">
        <v>0.0</v>
      </c>
    </row>
    <row r="92" ht="15.75" hidden="1" customHeight="1">
      <c r="A92" s="5">
        <v>378.0</v>
      </c>
      <c r="B92" s="5">
        <v>5.0</v>
      </c>
      <c r="C92" s="6" t="s">
        <v>396</v>
      </c>
      <c r="D92" s="6" t="s">
        <v>397</v>
      </c>
      <c r="E92" s="6" t="s">
        <v>17</v>
      </c>
      <c r="F92" s="7" t="s">
        <v>400</v>
      </c>
      <c r="G92" s="7" t="s">
        <v>401</v>
      </c>
      <c r="H92" s="6" t="s">
        <v>402</v>
      </c>
      <c r="I92" s="14" t="s">
        <v>403</v>
      </c>
      <c r="J92" s="9" t="s">
        <v>403</v>
      </c>
      <c r="K92" s="9" t="s">
        <v>191</v>
      </c>
      <c r="L92" s="6" t="s">
        <v>404</v>
      </c>
      <c r="M92" s="6" t="s">
        <v>405</v>
      </c>
      <c r="N92" s="6"/>
      <c r="O92" s="4"/>
    </row>
    <row r="93" ht="15.75" hidden="1" customHeight="1">
      <c r="A93" s="5">
        <v>394.0</v>
      </c>
      <c r="B93" s="5">
        <v>5.0</v>
      </c>
      <c r="C93" s="6" t="s">
        <v>396</v>
      </c>
      <c r="D93" s="6" t="s">
        <v>397</v>
      </c>
      <c r="E93" s="6" t="s">
        <v>17</v>
      </c>
      <c r="F93" s="7" t="s">
        <v>406</v>
      </c>
      <c r="G93" s="7" t="s">
        <v>407</v>
      </c>
      <c r="H93" s="6" t="s">
        <v>408</v>
      </c>
      <c r="I93" s="6" t="s">
        <v>409</v>
      </c>
      <c r="J93" s="6" t="s">
        <v>410</v>
      </c>
      <c r="K93" s="6" t="s">
        <v>205</v>
      </c>
      <c r="L93" s="6" t="s">
        <v>93</v>
      </c>
      <c r="M93" s="6" t="s">
        <v>411</v>
      </c>
      <c r="N93" s="6"/>
      <c r="O93" s="4"/>
    </row>
    <row r="94" ht="15.75" hidden="1" customHeight="1">
      <c r="A94" s="5"/>
      <c r="B94" s="5"/>
      <c r="C94" s="6" t="s">
        <v>396</v>
      </c>
      <c r="D94" s="6" t="s">
        <v>397</v>
      </c>
      <c r="E94" s="6" t="s">
        <v>17</v>
      </c>
      <c r="F94" s="7" t="s">
        <v>199</v>
      </c>
      <c r="G94" s="7" t="s">
        <v>412</v>
      </c>
      <c r="H94" s="6" t="s">
        <v>110</v>
      </c>
      <c r="I94" s="6" t="s">
        <v>201</v>
      </c>
      <c r="J94" s="6" t="s">
        <v>202</v>
      </c>
      <c r="K94" s="6" t="s">
        <v>205</v>
      </c>
      <c r="L94" s="9" t="s">
        <v>42</v>
      </c>
      <c r="M94" s="6" t="s">
        <v>43</v>
      </c>
      <c r="N94" s="6" t="s">
        <v>206</v>
      </c>
      <c r="O94" s="17"/>
    </row>
    <row r="95" ht="15.75" hidden="1" customHeight="1">
      <c r="A95" s="5">
        <v>374.0</v>
      </c>
      <c r="B95" s="5">
        <v>5.0</v>
      </c>
      <c r="C95" s="6" t="s">
        <v>396</v>
      </c>
      <c r="D95" s="6" t="s">
        <v>397</v>
      </c>
      <c r="E95" s="6" t="s">
        <v>17</v>
      </c>
      <c r="F95" s="7" t="s">
        <v>199</v>
      </c>
      <c r="G95" s="7" t="s">
        <v>412</v>
      </c>
      <c r="H95" s="6" t="s">
        <v>110</v>
      </c>
      <c r="I95" s="6" t="s">
        <v>201</v>
      </c>
      <c r="J95" s="6" t="s">
        <v>202</v>
      </c>
      <c r="K95" s="6" t="s">
        <v>205</v>
      </c>
      <c r="L95" s="6" t="s">
        <v>203</v>
      </c>
      <c r="M95" s="6" t="s">
        <v>204</v>
      </c>
      <c r="N95" s="6"/>
      <c r="O95" s="17">
        <v>0.0</v>
      </c>
    </row>
    <row r="96" ht="15.75" hidden="1" customHeight="1">
      <c r="A96" s="5">
        <v>388.0</v>
      </c>
      <c r="B96" s="5">
        <v>5.0</v>
      </c>
      <c r="C96" s="6" t="s">
        <v>396</v>
      </c>
      <c r="D96" s="6" t="s">
        <v>397</v>
      </c>
      <c r="E96" s="6" t="s">
        <v>17</v>
      </c>
      <c r="F96" s="7" t="s">
        <v>207</v>
      </c>
      <c r="G96" s="7" t="s">
        <v>413</v>
      </c>
      <c r="H96" s="6" t="s">
        <v>19</v>
      </c>
      <c r="I96" s="6" t="s">
        <v>209</v>
      </c>
      <c r="J96" s="6" t="s">
        <v>209</v>
      </c>
      <c r="K96" s="6" t="s">
        <v>26</v>
      </c>
      <c r="L96" s="6" t="s">
        <v>22</v>
      </c>
      <c r="M96" s="6" t="s">
        <v>210</v>
      </c>
      <c r="N96" s="6" t="s">
        <v>23</v>
      </c>
      <c r="O96" s="4"/>
    </row>
    <row r="97" ht="15.75" hidden="1" customHeight="1">
      <c r="A97" s="5">
        <v>387.0</v>
      </c>
      <c r="B97" s="5">
        <v>5.0</v>
      </c>
      <c r="C97" s="6" t="s">
        <v>396</v>
      </c>
      <c r="D97" s="6" t="s">
        <v>397</v>
      </c>
      <c r="E97" s="6" t="s">
        <v>17</v>
      </c>
      <c r="F97" s="7" t="s">
        <v>414</v>
      </c>
      <c r="G97" s="7" t="s">
        <v>415</v>
      </c>
      <c r="H97" s="6" t="s">
        <v>19</v>
      </c>
      <c r="I97" s="6" t="s">
        <v>79</v>
      </c>
      <c r="J97" s="6" t="s">
        <v>79</v>
      </c>
      <c r="K97" s="6" t="s">
        <v>26</v>
      </c>
      <c r="L97" s="6" t="s">
        <v>22</v>
      </c>
      <c r="M97" s="6" t="s">
        <v>210</v>
      </c>
      <c r="N97" s="6"/>
      <c r="O97" s="4"/>
    </row>
    <row r="98" ht="15.75" hidden="1" customHeight="1">
      <c r="A98" s="5">
        <v>380.0</v>
      </c>
      <c r="B98" s="5">
        <v>5.0</v>
      </c>
      <c r="C98" s="6" t="s">
        <v>396</v>
      </c>
      <c r="D98" s="6" t="s">
        <v>397</v>
      </c>
      <c r="E98" s="6" t="s">
        <v>17</v>
      </c>
      <c r="F98" s="7" t="s">
        <v>213</v>
      </c>
      <c r="G98" s="7" t="s">
        <v>416</v>
      </c>
      <c r="H98" s="6" t="s">
        <v>30</v>
      </c>
      <c r="I98" s="8" t="s">
        <v>31</v>
      </c>
      <c r="J98" s="6" t="s">
        <v>31</v>
      </c>
      <c r="K98" s="9" t="s">
        <v>21</v>
      </c>
      <c r="L98" s="6" t="s">
        <v>32</v>
      </c>
      <c r="M98" s="6" t="s">
        <v>33</v>
      </c>
      <c r="N98" s="6"/>
      <c r="O98" s="4"/>
    </row>
    <row r="99" ht="15.75" hidden="1" customHeight="1">
      <c r="A99" s="5">
        <v>381.0</v>
      </c>
      <c r="B99" s="5">
        <v>5.0</v>
      </c>
      <c r="C99" s="6" t="s">
        <v>396</v>
      </c>
      <c r="D99" s="6" t="s">
        <v>397</v>
      </c>
      <c r="E99" s="6" t="s">
        <v>17</v>
      </c>
      <c r="F99" s="7" t="s">
        <v>219</v>
      </c>
      <c r="G99" s="7" t="s">
        <v>417</v>
      </c>
      <c r="H99" s="6" t="s">
        <v>30</v>
      </c>
      <c r="I99" s="8" t="s">
        <v>35</v>
      </c>
      <c r="J99" s="6" t="s">
        <v>35</v>
      </c>
      <c r="K99" s="9" t="s">
        <v>21</v>
      </c>
      <c r="L99" s="6" t="s">
        <v>32</v>
      </c>
      <c r="M99" s="6" t="s">
        <v>36</v>
      </c>
      <c r="N99" s="6"/>
      <c r="O99" s="4"/>
    </row>
    <row r="100" ht="15.75" hidden="1" customHeight="1">
      <c r="A100" s="5">
        <v>393.0</v>
      </c>
      <c r="B100" s="5">
        <v>5.0</v>
      </c>
      <c r="C100" s="6" t="s">
        <v>396</v>
      </c>
      <c r="D100" s="6" t="s">
        <v>397</v>
      </c>
      <c r="E100" s="6" t="s">
        <v>17</v>
      </c>
      <c r="F100" s="7" t="s">
        <v>221</v>
      </c>
      <c r="G100" s="7" t="s">
        <v>418</v>
      </c>
      <c r="H100" s="6" t="s">
        <v>408</v>
      </c>
      <c r="I100" s="6" t="s">
        <v>419</v>
      </c>
      <c r="J100" s="6" t="s">
        <v>92</v>
      </c>
      <c r="K100" s="6" t="s">
        <v>21</v>
      </c>
      <c r="L100" s="6" t="s">
        <v>93</v>
      </c>
      <c r="M100" s="6" t="s">
        <v>94</v>
      </c>
      <c r="N100" s="6"/>
      <c r="O100" s="4"/>
    </row>
    <row r="101" ht="15.75" hidden="1" customHeight="1">
      <c r="A101" s="5">
        <v>412.0</v>
      </c>
      <c r="B101" s="5">
        <v>5.0</v>
      </c>
      <c r="C101" s="6" t="s">
        <v>396</v>
      </c>
      <c r="D101" s="6" t="s">
        <v>397</v>
      </c>
      <c r="E101" s="6" t="s">
        <v>17</v>
      </c>
      <c r="F101" s="7" t="s">
        <v>225</v>
      </c>
      <c r="G101" s="7" t="s">
        <v>420</v>
      </c>
      <c r="H101" s="6" t="s">
        <v>215</v>
      </c>
      <c r="I101" s="6" t="s">
        <v>228</v>
      </c>
      <c r="J101" s="6" t="s">
        <v>76</v>
      </c>
      <c r="K101" s="6" t="s">
        <v>41</v>
      </c>
      <c r="L101" s="6" t="s">
        <v>118</v>
      </c>
      <c r="M101" s="10" t="s">
        <v>229</v>
      </c>
      <c r="N101" s="6"/>
      <c r="O101" s="4"/>
    </row>
    <row r="102" ht="15.75" hidden="1" customHeight="1">
      <c r="A102" s="5">
        <v>362.0</v>
      </c>
      <c r="B102" s="5">
        <v>5.0</v>
      </c>
      <c r="C102" s="6" t="s">
        <v>396</v>
      </c>
      <c r="D102" s="6" t="s">
        <v>397</v>
      </c>
      <c r="E102" s="6" t="s">
        <v>17</v>
      </c>
      <c r="F102" s="7" t="s">
        <v>234</v>
      </c>
      <c r="G102" s="7" t="s">
        <v>421</v>
      </c>
      <c r="H102" s="6" t="s">
        <v>110</v>
      </c>
      <c r="I102" s="6" t="s">
        <v>422</v>
      </c>
      <c r="J102" s="6" t="s">
        <v>40</v>
      </c>
      <c r="K102" s="6" t="s">
        <v>41</v>
      </c>
      <c r="L102" s="9" t="s">
        <v>42</v>
      </c>
      <c r="M102" s="6" t="s">
        <v>43</v>
      </c>
      <c r="N102" s="6" t="s">
        <v>44</v>
      </c>
      <c r="O102" s="17"/>
    </row>
    <row r="103" ht="15.75" hidden="1" customHeight="1">
      <c r="A103" s="5">
        <v>363.0</v>
      </c>
      <c r="B103" s="5">
        <v>5.0</v>
      </c>
      <c r="C103" s="6" t="s">
        <v>396</v>
      </c>
      <c r="D103" s="6" t="s">
        <v>397</v>
      </c>
      <c r="E103" s="6" t="s">
        <v>17</v>
      </c>
      <c r="F103" s="7" t="s">
        <v>230</v>
      </c>
      <c r="G103" s="7" t="s">
        <v>423</v>
      </c>
      <c r="H103" s="6" t="s">
        <v>110</v>
      </c>
      <c r="I103" s="6" t="s">
        <v>424</v>
      </c>
      <c r="J103" s="6" t="s">
        <v>40</v>
      </c>
      <c r="K103" s="6" t="s">
        <v>41</v>
      </c>
      <c r="L103" s="9" t="s">
        <v>42</v>
      </c>
      <c r="M103" s="9" t="s">
        <v>43</v>
      </c>
      <c r="N103" s="6" t="s">
        <v>233</v>
      </c>
      <c r="O103" s="17"/>
    </row>
    <row r="104" ht="15.75" hidden="1" customHeight="1">
      <c r="A104" s="5">
        <v>376.0</v>
      </c>
      <c r="B104" s="5">
        <v>5.0</v>
      </c>
      <c r="C104" s="6" t="s">
        <v>396</v>
      </c>
      <c r="D104" s="6" t="s">
        <v>397</v>
      </c>
      <c r="E104" s="6" t="s">
        <v>17</v>
      </c>
      <c r="F104" s="7" t="s">
        <v>425</v>
      </c>
      <c r="G104" s="7" t="s">
        <v>426</v>
      </c>
      <c r="H104" s="6" t="s">
        <v>402</v>
      </c>
      <c r="I104" s="14" t="s">
        <v>427</v>
      </c>
      <c r="J104" s="9" t="s">
        <v>427</v>
      </c>
      <c r="K104" s="9" t="s">
        <v>21</v>
      </c>
      <c r="L104" s="6" t="s">
        <v>404</v>
      </c>
      <c r="M104" s="6" t="s">
        <v>405</v>
      </c>
      <c r="N104" s="6"/>
      <c r="O104" s="4"/>
    </row>
    <row r="105" ht="15.75" hidden="1" customHeight="1">
      <c r="A105" s="5">
        <v>403.0</v>
      </c>
      <c r="B105" s="5">
        <v>5.0</v>
      </c>
      <c r="C105" s="6" t="s">
        <v>396</v>
      </c>
      <c r="D105" s="6" t="s">
        <v>397</v>
      </c>
      <c r="E105" s="6" t="s">
        <v>17</v>
      </c>
      <c r="F105" s="7" t="s">
        <v>237</v>
      </c>
      <c r="G105" s="7" t="s">
        <v>428</v>
      </c>
      <c r="H105" s="6" t="s">
        <v>21</v>
      </c>
      <c r="I105" s="14" t="s">
        <v>429</v>
      </c>
      <c r="J105" s="9" t="s">
        <v>240</v>
      </c>
      <c r="K105" s="9" t="s">
        <v>21</v>
      </c>
      <c r="L105" s="15"/>
      <c r="N105" s="6"/>
      <c r="O105" s="4"/>
    </row>
    <row r="106" ht="15.75" hidden="1" customHeight="1">
      <c r="A106" s="5">
        <v>365.0</v>
      </c>
      <c r="B106" s="5">
        <v>5.0</v>
      </c>
      <c r="C106" s="6" t="s">
        <v>396</v>
      </c>
      <c r="D106" s="6" t="s">
        <v>397</v>
      </c>
      <c r="E106" s="6" t="s">
        <v>17</v>
      </c>
      <c r="F106" s="7" t="s">
        <v>430</v>
      </c>
      <c r="G106" s="7" t="s">
        <v>431</v>
      </c>
      <c r="H106" s="6" t="s">
        <v>110</v>
      </c>
      <c r="I106" s="6" t="s">
        <v>432</v>
      </c>
      <c r="J106" s="6" t="s">
        <v>47</v>
      </c>
      <c r="K106" s="6" t="s">
        <v>41</v>
      </c>
      <c r="L106" s="6" t="s">
        <v>49</v>
      </c>
      <c r="M106" s="6" t="s">
        <v>50</v>
      </c>
      <c r="N106" s="6"/>
      <c r="O106" s="17"/>
    </row>
    <row r="107" ht="15.75" hidden="1" customHeight="1">
      <c r="A107" s="5">
        <v>390.0</v>
      </c>
      <c r="B107" s="5">
        <v>5.0</v>
      </c>
      <c r="C107" s="6" t="s">
        <v>396</v>
      </c>
      <c r="D107" s="6" t="s">
        <v>397</v>
      </c>
      <c r="E107" s="6" t="s">
        <v>17</v>
      </c>
      <c r="F107" s="7" t="s">
        <v>244</v>
      </c>
      <c r="G107" s="7" t="s">
        <v>433</v>
      </c>
      <c r="H107" s="6" t="s">
        <v>434</v>
      </c>
      <c r="I107" s="6" t="s">
        <v>435</v>
      </c>
      <c r="J107" s="6" t="s">
        <v>52</v>
      </c>
      <c r="K107" s="6" t="s">
        <v>21</v>
      </c>
      <c r="L107" s="6" t="s">
        <v>53</v>
      </c>
      <c r="M107" s="6" t="s">
        <v>54</v>
      </c>
      <c r="N107" s="6"/>
    </row>
    <row r="108" ht="15.75" hidden="1" customHeight="1">
      <c r="A108" s="5">
        <v>347.0</v>
      </c>
      <c r="B108" s="5">
        <v>5.0</v>
      </c>
      <c r="C108" s="6" t="s">
        <v>396</v>
      </c>
      <c r="D108" s="6" t="s">
        <v>397</v>
      </c>
      <c r="E108" s="6" t="s">
        <v>17</v>
      </c>
      <c r="F108" s="7" t="s">
        <v>247</v>
      </c>
      <c r="G108" s="7" t="s">
        <v>436</v>
      </c>
      <c r="H108" s="6" t="s">
        <v>110</v>
      </c>
      <c r="I108" s="6" t="s">
        <v>249</v>
      </c>
      <c r="J108" s="6" t="s">
        <v>52</v>
      </c>
      <c r="K108" s="6" t="s">
        <v>41</v>
      </c>
      <c r="L108" s="6" t="s">
        <v>250</v>
      </c>
      <c r="M108" s="6" t="s">
        <v>50</v>
      </c>
      <c r="N108" s="6"/>
      <c r="O108" s="17"/>
    </row>
    <row r="109" ht="15.75" hidden="1" customHeight="1">
      <c r="A109" s="5">
        <v>346.0</v>
      </c>
      <c r="B109" s="5">
        <v>5.0</v>
      </c>
      <c r="C109" s="6" t="s">
        <v>396</v>
      </c>
      <c r="D109" s="6" t="s">
        <v>397</v>
      </c>
      <c r="E109" s="6" t="s">
        <v>17</v>
      </c>
      <c r="F109" s="7" t="s">
        <v>251</v>
      </c>
      <c r="G109" s="7" t="s">
        <v>437</v>
      </c>
      <c r="H109" s="6" t="s">
        <v>110</v>
      </c>
      <c r="I109" s="6" t="s">
        <v>438</v>
      </c>
      <c r="J109" s="6" t="s">
        <v>56</v>
      </c>
      <c r="K109" s="6" t="s">
        <v>41</v>
      </c>
      <c r="L109" s="6" t="s">
        <v>253</v>
      </c>
      <c r="M109" s="6" t="s">
        <v>254</v>
      </c>
      <c r="N109" s="6"/>
      <c r="O109" s="17"/>
    </row>
    <row r="110" ht="15.75" hidden="1" customHeight="1">
      <c r="A110" s="5">
        <v>337.0</v>
      </c>
      <c r="B110" s="5">
        <v>5.0</v>
      </c>
      <c r="C110" s="6" t="s">
        <v>396</v>
      </c>
      <c r="D110" s="6" t="s">
        <v>397</v>
      </c>
      <c r="E110" s="6" t="s">
        <v>17</v>
      </c>
      <c r="F110" s="7" t="s">
        <v>255</v>
      </c>
      <c r="G110" s="7" t="s">
        <v>439</v>
      </c>
      <c r="H110" s="6" t="s">
        <v>440</v>
      </c>
      <c r="I110" s="6" t="s">
        <v>441</v>
      </c>
      <c r="J110" s="6" t="s">
        <v>61</v>
      </c>
      <c r="K110" s="6" t="s">
        <v>41</v>
      </c>
      <c r="L110" s="9" t="s">
        <v>62</v>
      </c>
      <c r="M110" s="10" t="s">
        <v>258</v>
      </c>
      <c r="N110" s="6"/>
      <c r="O110" s="4"/>
    </row>
    <row r="111" ht="15.75" hidden="1" customHeight="1">
      <c r="A111" s="5">
        <v>336.0</v>
      </c>
      <c r="B111" s="5">
        <v>5.0</v>
      </c>
      <c r="C111" s="6" t="s">
        <v>396</v>
      </c>
      <c r="D111" s="6" t="s">
        <v>397</v>
      </c>
      <c r="E111" s="6" t="s">
        <v>17</v>
      </c>
      <c r="F111" s="7" t="s">
        <v>442</v>
      </c>
      <c r="G111" s="7" t="s">
        <v>443</v>
      </c>
      <c r="H111" s="6" t="s">
        <v>440</v>
      </c>
      <c r="I111" s="6" t="s">
        <v>444</v>
      </c>
      <c r="J111" s="6" t="s">
        <v>445</v>
      </c>
      <c r="K111" s="6" t="s">
        <v>41</v>
      </c>
      <c r="L111" s="9" t="s">
        <v>62</v>
      </c>
      <c r="M111" s="10" t="s">
        <v>446</v>
      </c>
      <c r="N111" s="6"/>
      <c r="O111" s="4"/>
    </row>
    <row r="112" ht="15.75" hidden="1" customHeight="1">
      <c r="A112" s="5">
        <v>348.0</v>
      </c>
      <c r="B112" s="5">
        <v>5.0</v>
      </c>
      <c r="C112" s="6" t="s">
        <v>396</v>
      </c>
      <c r="D112" s="6" t="s">
        <v>397</v>
      </c>
      <c r="E112" s="6" t="s">
        <v>17</v>
      </c>
      <c r="F112" s="7" t="s">
        <v>447</v>
      </c>
      <c r="G112" s="7" t="s">
        <v>448</v>
      </c>
      <c r="H112" s="6" t="s">
        <v>110</v>
      </c>
      <c r="I112" s="6" t="s">
        <v>262</v>
      </c>
      <c r="J112" s="6" t="s">
        <v>262</v>
      </c>
      <c r="K112" s="6" t="s">
        <v>41</v>
      </c>
      <c r="L112" s="10" t="s">
        <v>263</v>
      </c>
      <c r="M112" s="6" t="s">
        <v>264</v>
      </c>
      <c r="N112" s="6"/>
      <c r="O112" s="17"/>
    </row>
    <row r="113" ht="15.75" hidden="1" customHeight="1">
      <c r="A113" s="5">
        <v>349.0</v>
      </c>
      <c r="B113" s="5">
        <v>5.0</v>
      </c>
      <c r="C113" s="6" t="s">
        <v>396</v>
      </c>
      <c r="D113" s="6" t="s">
        <v>397</v>
      </c>
      <c r="E113" s="6" t="s">
        <v>17</v>
      </c>
      <c r="F113" s="7" t="s">
        <v>265</v>
      </c>
      <c r="G113" s="7" t="s">
        <v>449</v>
      </c>
      <c r="H113" s="6" t="s">
        <v>110</v>
      </c>
      <c r="I113" s="6" t="s">
        <v>267</v>
      </c>
      <c r="J113" s="6" t="s">
        <v>268</v>
      </c>
      <c r="K113" s="6" t="s">
        <v>41</v>
      </c>
      <c r="L113" s="6" t="s">
        <v>269</v>
      </c>
      <c r="M113" s="6" t="s">
        <v>50</v>
      </c>
      <c r="N113" s="6"/>
      <c r="O113" s="17"/>
    </row>
    <row r="114" ht="15.75" hidden="1" customHeight="1">
      <c r="A114" s="5">
        <v>367.0</v>
      </c>
      <c r="B114" s="5">
        <v>5.0</v>
      </c>
      <c r="C114" s="6" t="s">
        <v>396</v>
      </c>
      <c r="D114" s="6" t="s">
        <v>397</v>
      </c>
      <c r="E114" s="6" t="s">
        <v>17</v>
      </c>
      <c r="F114" s="7" t="s">
        <v>274</v>
      </c>
      <c r="G114" s="7" t="s">
        <v>275</v>
      </c>
      <c r="H114" s="6" t="s">
        <v>110</v>
      </c>
      <c r="I114" s="6" t="s">
        <v>450</v>
      </c>
      <c r="J114" s="6" t="s">
        <v>154</v>
      </c>
      <c r="K114" s="6" t="s">
        <v>41</v>
      </c>
      <c r="L114" s="9" t="s">
        <v>263</v>
      </c>
      <c r="M114" s="6" t="s">
        <v>273</v>
      </c>
      <c r="N114" s="6"/>
      <c r="O114" s="17"/>
    </row>
    <row r="115" ht="15.75" hidden="1" customHeight="1">
      <c r="A115" s="5">
        <v>352.0</v>
      </c>
      <c r="B115" s="5">
        <v>5.0</v>
      </c>
      <c r="C115" s="6" t="s">
        <v>396</v>
      </c>
      <c r="D115" s="6" t="s">
        <v>397</v>
      </c>
      <c r="E115" s="6" t="s">
        <v>17</v>
      </c>
      <c r="F115" s="7" t="s">
        <v>451</v>
      </c>
      <c r="G115" s="7" t="s">
        <v>452</v>
      </c>
      <c r="H115" s="6" t="s">
        <v>223</v>
      </c>
      <c r="I115" s="6" t="s">
        <v>453</v>
      </c>
      <c r="J115" s="6" t="s">
        <v>453</v>
      </c>
      <c r="K115" s="6" t="s">
        <v>157</v>
      </c>
      <c r="L115" s="6" t="s">
        <v>454</v>
      </c>
      <c r="M115" s="6"/>
      <c r="N115" s="6"/>
      <c r="O115" s="4">
        <v>0.0</v>
      </c>
    </row>
    <row r="116" ht="15.75" hidden="1" customHeight="1">
      <c r="A116" s="5">
        <v>350.0</v>
      </c>
      <c r="B116" s="5">
        <v>5.0</v>
      </c>
      <c r="C116" s="6" t="s">
        <v>396</v>
      </c>
      <c r="D116" s="6" t="s">
        <v>397</v>
      </c>
      <c r="E116" s="6" t="s">
        <v>17</v>
      </c>
      <c r="F116" s="7" t="s">
        <v>455</v>
      </c>
      <c r="G116" s="7" t="s">
        <v>456</v>
      </c>
      <c r="H116" s="6" t="s">
        <v>110</v>
      </c>
      <c r="I116" s="6" t="s">
        <v>457</v>
      </c>
      <c r="J116" s="6" t="s">
        <v>458</v>
      </c>
      <c r="K116" s="6" t="s">
        <v>41</v>
      </c>
      <c r="L116" s="9" t="s">
        <v>263</v>
      </c>
      <c r="M116" s="6" t="s">
        <v>459</v>
      </c>
      <c r="N116" s="6"/>
      <c r="O116" s="17"/>
    </row>
    <row r="117" ht="15.75" hidden="1" customHeight="1">
      <c r="A117" s="5">
        <v>401.0</v>
      </c>
      <c r="B117" s="5">
        <v>5.0</v>
      </c>
      <c r="C117" s="6" t="s">
        <v>396</v>
      </c>
      <c r="D117" s="6" t="s">
        <v>397</v>
      </c>
      <c r="E117" s="6" t="s">
        <v>17</v>
      </c>
      <c r="F117" s="7" t="s">
        <v>277</v>
      </c>
      <c r="G117" s="7" t="s">
        <v>460</v>
      </c>
      <c r="H117" s="6" t="s">
        <v>96</v>
      </c>
      <c r="I117" s="6" t="s">
        <v>279</v>
      </c>
      <c r="J117" s="6" t="s">
        <v>98</v>
      </c>
      <c r="K117" s="6" t="s">
        <v>157</v>
      </c>
      <c r="L117" s="6" t="s">
        <v>158</v>
      </c>
      <c r="M117" s="6" t="s">
        <v>280</v>
      </c>
      <c r="N117" s="6" t="s">
        <v>23</v>
      </c>
      <c r="O117" s="17"/>
    </row>
    <row r="118" ht="15.75" hidden="1" customHeight="1">
      <c r="A118" s="5">
        <v>340.0</v>
      </c>
      <c r="B118" s="5">
        <v>5.0</v>
      </c>
      <c r="C118" s="6" t="s">
        <v>396</v>
      </c>
      <c r="D118" s="6" t="s">
        <v>397</v>
      </c>
      <c r="E118" s="6" t="s">
        <v>17</v>
      </c>
      <c r="F118" s="7" t="s">
        <v>461</v>
      </c>
      <c r="G118" s="7" t="s">
        <v>462</v>
      </c>
      <c r="H118" s="6" t="s">
        <v>440</v>
      </c>
      <c r="I118" s="6" t="s">
        <v>67</v>
      </c>
      <c r="J118" s="6" t="s">
        <v>67</v>
      </c>
      <c r="K118" s="6" t="s">
        <v>41</v>
      </c>
      <c r="L118" s="9" t="s">
        <v>62</v>
      </c>
      <c r="M118" s="10" t="s">
        <v>68</v>
      </c>
      <c r="N118" s="6"/>
      <c r="O118" s="4"/>
    </row>
    <row r="119" ht="15.75" hidden="1" customHeight="1">
      <c r="A119" s="5">
        <v>339.0</v>
      </c>
      <c r="B119" s="5">
        <v>5.0</v>
      </c>
      <c r="C119" s="6" t="s">
        <v>396</v>
      </c>
      <c r="D119" s="6" t="s">
        <v>397</v>
      </c>
      <c r="E119" s="6" t="s">
        <v>17</v>
      </c>
      <c r="F119" s="7" t="s">
        <v>463</v>
      </c>
      <c r="G119" s="7" t="s">
        <v>464</v>
      </c>
      <c r="H119" s="6" t="s">
        <v>440</v>
      </c>
      <c r="I119" s="6" t="s">
        <v>465</v>
      </c>
      <c r="J119" s="6" t="s">
        <v>67</v>
      </c>
      <c r="K119" s="6" t="s">
        <v>41</v>
      </c>
      <c r="L119" s="10" t="s">
        <v>466</v>
      </c>
      <c r="M119" s="6"/>
      <c r="N119" s="6"/>
      <c r="O119" s="4">
        <v>0.0</v>
      </c>
    </row>
    <row r="120" ht="15.75" hidden="1" customHeight="1">
      <c r="A120" s="5">
        <v>395.0</v>
      </c>
      <c r="B120" s="5">
        <v>5.0</v>
      </c>
      <c r="C120" s="6" t="s">
        <v>396</v>
      </c>
      <c r="D120" s="6" t="s">
        <v>397</v>
      </c>
      <c r="E120" s="6" t="s">
        <v>17</v>
      </c>
      <c r="F120" s="7" t="s">
        <v>287</v>
      </c>
      <c r="G120" s="7" t="s">
        <v>467</v>
      </c>
      <c r="H120" s="6" t="s">
        <v>408</v>
      </c>
      <c r="I120" s="6" t="s">
        <v>289</v>
      </c>
      <c r="J120" s="6" t="s">
        <v>289</v>
      </c>
      <c r="K120" s="6" t="s">
        <v>21</v>
      </c>
      <c r="L120" s="6" t="s">
        <v>93</v>
      </c>
      <c r="M120" s="6" t="s">
        <v>191</v>
      </c>
      <c r="N120" s="6" t="s">
        <v>468</v>
      </c>
      <c r="O120" s="4"/>
    </row>
    <row r="121" ht="15.75" hidden="1" customHeight="1">
      <c r="A121" s="5">
        <v>377.0</v>
      </c>
      <c r="B121" s="5">
        <v>5.0</v>
      </c>
      <c r="C121" s="6" t="s">
        <v>396</v>
      </c>
      <c r="D121" s="6" t="s">
        <v>397</v>
      </c>
      <c r="E121" s="6" t="s">
        <v>17</v>
      </c>
      <c r="F121" s="7" t="s">
        <v>469</v>
      </c>
      <c r="G121" s="7" t="s">
        <v>470</v>
      </c>
      <c r="H121" s="6" t="s">
        <v>402</v>
      </c>
      <c r="I121" s="14" t="s">
        <v>471</v>
      </c>
      <c r="J121" s="9" t="s">
        <v>471</v>
      </c>
      <c r="K121" s="9" t="s">
        <v>191</v>
      </c>
      <c r="L121" s="6" t="s">
        <v>404</v>
      </c>
      <c r="M121" s="6"/>
      <c r="N121" s="6"/>
      <c r="O121" s="4"/>
    </row>
    <row r="122" ht="15.75" hidden="1" customHeight="1">
      <c r="A122" s="5">
        <v>397.0</v>
      </c>
      <c r="B122" s="5">
        <v>5.0</v>
      </c>
      <c r="C122" s="6" t="s">
        <v>396</v>
      </c>
      <c r="D122" s="6" t="s">
        <v>397</v>
      </c>
      <c r="E122" s="6" t="s">
        <v>17</v>
      </c>
      <c r="F122" s="7" t="s">
        <v>290</v>
      </c>
      <c r="G122" s="7" t="s">
        <v>472</v>
      </c>
      <c r="H122" s="6" t="s">
        <v>408</v>
      </c>
      <c r="I122" s="6" t="s">
        <v>292</v>
      </c>
      <c r="J122" s="6" t="s">
        <v>292</v>
      </c>
      <c r="K122" s="6" t="s">
        <v>21</v>
      </c>
      <c r="L122" s="6" t="s">
        <v>93</v>
      </c>
      <c r="M122" s="6" t="s">
        <v>191</v>
      </c>
      <c r="N122" s="6"/>
      <c r="O122" s="4"/>
    </row>
    <row r="123" ht="15.75" hidden="1" customHeight="1">
      <c r="A123" s="5">
        <v>364.0</v>
      </c>
      <c r="B123" s="5">
        <v>5.0</v>
      </c>
      <c r="C123" s="6" t="s">
        <v>396</v>
      </c>
      <c r="D123" s="6" t="s">
        <v>397</v>
      </c>
      <c r="E123" s="6" t="s">
        <v>17</v>
      </c>
      <c r="F123" s="7" t="s">
        <v>301</v>
      </c>
      <c r="G123" s="7" t="s">
        <v>473</v>
      </c>
      <c r="H123" s="6" t="s">
        <v>110</v>
      </c>
      <c r="I123" s="6" t="s">
        <v>474</v>
      </c>
      <c r="J123" s="6" t="s">
        <v>111</v>
      </c>
      <c r="K123" s="6" t="s">
        <v>162</v>
      </c>
      <c r="L123" s="6" t="s">
        <v>203</v>
      </c>
      <c r="M123" s="6" t="s">
        <v>304</v>
      </c>
      <c r="N123" s="6"/>
      <c r="O123" s="17"/>
    </row>
    <row r="124" ht="15.75" hidden="1" customHeight="1">
      <c r="A124" s="5">
        <v>369.0</v>
      </c>
      <c r="B124" s="5">
        <v>5.0</v>
      </c>
      <c r="C124" s="6" t="s">
        <v>396</v>
      </c>
      <c r="D124" s="6" t="s">
        <v>397</v>
      </c>
      <c r="E124" s="6" t="s">
        <v>17</v>
      </c>
      <c r="F124" s="7" t="s">
        <v>305</v>
      </c>
      <c r="G124" s="7" t="s">
        <v>475</v>
      </c>
      <c r="H124" s="6" t="s">
        <v>110</v>
      </c>
      <c r="I124" s="6" t="s">
        <v>307</v>
      </c>
      <c r="J124" s="6" t="s">
        <v>307</v>
      </c>
      <c r="K124" s="6" t="s">
        <v>308</v>
      </c>
      <c r="L124" s="6" t="s">
        <v>53</v>
      </c>
      <c r="M124" s="6" t="s">
        <v>309</v>
      </c>
      <c r="N124" s="6"/>
      <c r="O124" s="6"/>
    </row>
    <row r="125" ht="15.75" hidden="1" customHeight="1">
      <c r="A125" s="5">
        <v>399.0</v>
      </c>
      <c r="B125" s="5">
        <v>5.0</v>
      </c>
      <c r="C125" s="6" t="s">
        <v>396</v>
      </c>
      <c r="D125" s="6" t="s">
        <v>397</v>
      </c>
      <c r="E125" s="6" t="s">
        <v>17</v>
      </c>
      <c r="F125" s="7" t="s">
        <v>476</v>
      </c>
      <c r="G125" s="7" t="s">
        <v>477</v>
      </c>
      <c r="H125" s="6" t="s">
        <v>478</v>
      </c>
      <c r="I125" s="6" t="s">
        <v>312</v>
      </c>
      <c r="J125" s="6" t="s">
        <v>312</v>
      </c>
      <c r="K125" s="6" t="s">
        <v>313</v>
      </c>
      <c r="L125" s="6" t="s">
        <v>73</v>
      </c>
      <c r="M125" s="6"/>
      <c r="N125" s="6"/>
      <c r="O125" s="4"/>
    </row>
    <row r="126" ht="15.75" hidden="1" customHeight="1">
      <c r="A126" s="5">
        <v>410.0</v>
      </c>
      <c r="B126" s="5">
        <v>5.0</v>
      </c>
      <c r="C126" s="6" t="s">
        <v>396</v>
      </c>
      <c r="D126" s="6" t="s">
        <v>397</v>
      </c>
      <c r="E126" s="6" t="s">
        <v>17</v>
      </c>
      <c r="F126" s="7" t="s">
        <v>314</v>
      </c>
      <c r="G126" s="7" t="s">
        <v>479</v>
      </c>
      <c r="H126" s="6" t="s">
        <v>122</v>
      </c>
      <c r="I126" s="6" t="s">
        <v>480</v>
      </c>
      <c r="J126" s="6" t="s">
        <v>80</v>
      </c>
      <c r="K126" s="6" t="s">
        <v>21</v>
      </c>
      <c r="L126" s="6" t="s">
        <v>118</v>
      </c>
      <c r="M126" s="6" t="s">
        <v>316</v>
      </c>
      <c r="N126" s="6"/>
      <c r="O126" s="4"/>
    </row>
    <row r="127" ht="15.75" hidden="1" customHeight="1">
      <c r="A127" s="5">
        <v>437.0</v>
      </c>
      <c r="B127" s="5">
        <v>12.0</v>
      </c>
      <c r="C127" s="6" t="s">
        <v>481</v>
      </c>
      <c r="D127" s="6" t="s">
        <v>482</v>
      </c>
      <c r="E127" s="6" t="s">
        <v>17</v>
      </c>
      <c r="F127" s="7" t="s">
        <v>483</v>
      </c>
      <c r="G127" s="7" t="s">
        <v>483</v>
      </c>
      <c r="H127" s="6" t="s">
        <v>484</v>
      </c>
      <c r="I127" s="6"/>
      <c r="J127" s="6" t="s">
        <v>129</v>
      </c>
      <c r="K127" s="6" t="s">
        <v>112</v>
      </c>
      <c r="L127" s="6" t="s">
        <v>198</v>
      </c>
      <c r="M127" s="6"/>
      <c r="N127" s="6"/>
      <c r="O127" s="4">
        <v>0.0</v>
      </c>
    </row>
    <row r="128" ht="15.75" hidden="1" customHeight="1">
      <c r="A128" s="5">
        <v>445.0</v>
      </c>
      <c r="B128" s="5">
        <v>12.0</v>
      </c>
      <c r="C128" s="6" t="s">
        <v>481</v>
      </c>
      <c r="D128" s="6" t="s">
        <v>482</v>
      </c>
      <c r="E128" s="6" t="s">
        <v>17</v>
      </c>
      <c r="F128" s="7" t="s">
        <v>485</v>
      </c>
      <c r="G128" s="7" t="s">
        <v>485</v>
      </c>
      <c r="H128" s="6" t="s">
        <v>486</v>
      </c>
      <c r="I128" s="9" t="s">
        <v>487</v>
      </c>
      <c r="J128" s="6" t="s">
        <v>129</v>
      </c>
      <c r="K128" s="9" t="s">
        <v>326</v>
      </c>
      <c r="L128" s="10" t="s">
        <v>488</v>
      </c>
      <c r="M128" s="6"/>
      <c r="N128" s="6"/>
      <c r="O128" s="9">
        <v>0.0</v>
      </c>
    </row>
    <row r="129" ht="15.75" hidden="1" customHeight="1">
      <c r="A129" s="5">
        <v>442.0</v>
      </c>
      <c r="B129" s="5">
        <v>12.0</v>
      </c>
      <c r="C129" s="6" t="s">
        <v>481</v>
      </c>
      <c r="D129" s="6" t="s">
        <v>482</v>
      </c>
      <c r="E129" s="6" t="s">
        <v>17</v>
      </c>
      <c r="F129" s="7" t="s">
        <v>489</v>
      </c>
      <c r="G129" s="7" t="s">
        <v>489</v>
      </c>
      <c r="H129" s="6" t="s">
        <v>486</v>
      </c>
      <c r="I129" s="22" t="s">
        <v>490</v>
      </c>
      <c r="J129" s="9" t="s">
        <v>490</v>
      </c>
      <c r="K129" s="9" t="s">
        <v>326</v>
      </c>
      <c r="L129" s="10" t="s">
        <v>336</v>
      </c>
      <c r="M129" s="6"/>
      <c r="N129" s="6"/>
    </row>
    <row r="130" ht="15.75" hidden="1" customHeight="1">
      <c r="A130" s="5">
        <v>444.0</v>
      </c>
      <c r="B130" s="5">
        <v>12.0</v>
      </c>
      <c r="C130" s="6" t="s">
        <v>481</v>
      </c>
      <c r="D130" s="6" t="s">
        <v>482</v>
      </c>
      <c r="E130" s="6" t="s">
        <v>17</v>
      </c>
      <c r="F130" s="7" t="s">
        <v>491</v>
      </c>
      <c r="G130" s="7" t="s">
        <v>491</v>
      </c>
      <c r="H130" s="6" t="s">
        <v>486</v>
      </c>
      <c r="I130" s="9" t="s">
        <v>492</v>
      </c>
      <c r="J130" s="9" t="s">
        <v>492</v>
      </c>
      <c r="K130" s="9" t="s">
        <v>326</v>
      </c>
      <c r="L130" s="10" t="s">
        <v>327</v>
      </c>
      <c r="M130" s="6"/>
      <c r="N130" s="6"/>
    </row>
    <row r="131" ht="15.75" hidden="1" customHeight="1">
      <c r="A131" s="5">
        <v>443.0</v>
      </c>
      <c r="B131" s="5">
        <v>12.0</v>
      </c>
      <c r="C131" s="6" t="s">
        <v>481</v>
      </c>
      <c r="D131" s="6" t="s">
        <v>482</v>
      </c>
      <c r="E131" s="6" t="s">
        <v>17</v>
      </c>
      <c r="F131" s="7" t="s">
        <v>493</v>
      </c>
      <c r="G131" s="7" t="s">
        <v>493</v>
      </c>
      <c r="H131" s="6" t="s">
        <v>486</v>
      </c>
      <c r="I131" s="9" t="s">
        <v>492</v>
      </c>
      <c r="J131" s="9" t="s">
        <v>492</v>
      </c>
      <c r="K131" s="9" t="s">
        <v>326</v>
      </c>
      <c r="L131" s="10" t="s">
        <v>327</v>
      </c>
      <c r="M131" s="6"/>
      <c r="N131" s="6"/>
    </row>
    <row r="132" ht="15.75" hidden="1" customHeight="1">
      <c r="A132" s="5">
        <v>450.0</v>
      </c>
      <c r="B132" s="5">
        <v>12.0</v>
      </c>
      <c r="C132" s="6" t="s">
        <v>481</v>
      </c>
      <c r="D132" s="6" t="s">
        <v>482</v>
      </c>
      <c r="E132" s="6" t="s">
        <v>17</v>
      </c>
      <c r="F132" s="7" t="s">
        <v>494</v>
      </c>
      <c r="G132" s="7" t="s">
        <v>494</v>
      </c>
      <c r="H132" s="6" t="s">
        <v>19</v>
      </c>
      <c r="I132" s="6" t="s">
        <v>20</v>
      </c>
      <c r="J132" s="6" t="s">
        <v>20</v>
      </c>
      <c r="K132" s="6" t="s">
        <v>41</v>
      </c>
      <c r="L132" s="9" t="s">
        <v>351</v>
      </c>
      <c r="M132" s="6" t="s">
        <v>23</v>
      </c>
      <c r="N132" s="6"/>
      <c r="O132" s="4"/>
    </row>
    <row r="133" ht="15.75" hidden="1" customHeight="1">
      <c r="A133" s="5">
        <v>440.0</v>
      </c>
      <c r="B133" s="5">
        <v>12.0</v>
      </c>
      <c r="C133" s="6" t="s">
        <v>481</v>
      </c>
      <c r="D133" s="6" t="s">
        <v>482</v>
      </c>
      <c r="E133" s="6" t="s">
        <v>17</v>
      </c>
      <c r="F133" s="7" t="s">
        <v>495</v>
      </c>
      <c r="G133" s="7" t="s">
        <v>495</v>
      </c>
      <c r="H133" s="6" t="s">
        <v>19</v>
      </c>
      <c r="I133" s="8" t="s">
        <v>25</v>
      </c>
      <c r="J133" s="6" t="s">
        <v>25</v>
      </c>
      <c r="K133" s="6" t="s">
        <v>26</v>
      </c>
      <c r="L133" s="6" t="s">
        <v>22</v>
      </c>
      <c r="M133" s="6" t="s">
        <v>496</v>
      </c>
      <c r="N133" s="6"/>
      <c r="O133" s="4"/>
    </row>
    <row r="134" ht="15.75" hidden="1" customHeight="1">
      <c r="A134" s="5">
        <v>435.0</v>
      </c>
      <c r="B134" s="5">
        <v>12.0</v>
      </c>
      <c r="C134" s="6" t="s">
        <v>481</v>
      </c>
      <c r="D134" s="6" t="s">
        <v>482</v>
      </c>
      <c r="E134" s="6" t="s">
        <v>17</v>
      </c>
      <c r="F134" s="7" t="s">
        <v>497</v>
      </c>
      <c r="G134" s="7" t="s">
        <v>497</v>
      </c>
      <c r="H134" s="6" t="s">
        <v>498</v>
      </c>
      <c r="I134" s="8" t="s">
        <v>31</v>
      </c>
      <c r="J134" s="6" t="s">
        <v>31</v>
      </c>
      <c r="K134" s="6" t="s">
        <v>41</v>
      </c>
      <c r="L134" s="6" t="s">
        <v>499</v>
      </c>
      <c r="M134" s="6" t="s">
        <v>500</v>
      </c>
      <c r="N134" s="6"/>
      <c r="O134" s="4"/>
    </row>
    <row r="135" ht="15.75" hidden="1" customHeight="1">
      <c r="A135" s="5">
        <v>436.0</v>
      </c>
      <c r="B135" s="5">
        <v>12.0</v>
      </c>
      <c r="C135" s="6" t="s">
        <v>481</v>
      </c>
      <c r="D135" s="6" t="s">
        <v>482</v>
      </c>
      <c r="E135" s="6" t="s">
        <v>17</v>
      </c>
      <c r="F135" s="7" t="s">
        <v>501</v>
      </c>
      <c r="G135" s="7" t="s">
        <v>501</v>
      </c>
      <c r="H135" s="6" t="s">
        <v>498</v>
      </c>
      <c r="I135" s="8" t="s">
        <v>35</v>
      </c>
      <c r="J135" s="6" t="s">
        <v>35</v>
      </c>
      <c r="K135" s="6" t="s">
        <v>41</v>
      </c>
      <c r="L135" s="6" t="s">
        <v>499</v>
      </c>
      <c r="M135" s="6" t="s">
        <v>502</v>
      </c>
      <c r="N135" s="6"/>
      <c r="O135" s="4"/>
    </row>
    <row r="136" ht="15.75" hidden="1" customHeight="1">
      <c r="A136" s="5">
        <v>447.0</v>
      </c>
      <c r="B136" s="5">
        <v>12.0</v>
      </c>
      <c r="C136" s="6" t="s">
        <v>481</v>
      </c>
      <c r="D136" s="6" t="s">
        <v>482</v>
      </c>
      <c r="E136" s="6" t="s">
        <v>17</v>
      </c>
      <c r="F136" s="7" t="s">
        <v>503</v>
      </c>
      <c r="G136" s="7" t="s">
        <v>503</v>
      </c>
      <c r="H136" s="6" t="s">
        <v>504</v>
      </c>
      <c r="I136" s="6" t="s">
        <v>92</v>
      </c>
      <c r="J136" s="6" t="s">
        <v>92</v>
      </c>
      <c r="K136" s="6" t="s">
        <v>26</v>
      </c>
      <c r="L136" s="9" t="s">
        <v>298</v>
      </c>
      <c r="M136" s="6" t="s">
        <v>505</v>
      </c>
      <c r="N136" s="6"/>
      <c r="O136" s="4"/>
    </row>
    <row r="137" ht="15.75" hidden="1" customHeight="1">
      <c r="A137" s="5">
        <v>446.0</v>
      </c>
      <c r="B137" s="5">
        <v>12.0</v>
      </c>
      <c r="C137" s="6" t="s">
        <v>481</v>
      </c>
      <c r="D137" s="6" t="s">
        <v>482</v>
      </c>
      <c r="E137" s="6" t="s">
        <v>17</v>
      </c>
      <c r="F137" s="7" t="s">
        <v>506</v>
      </c>
      <c r="G137" s="7" t="s">
        <v>506</v>
      </c>
      <c r="H137" s="6" t="s">
        <v>504</v>
      </c>
      <c r="I137" s="8" t="s">
        <v>92</v>
      </c>
      <c r="J137" s="6" t="s">
        <v>92</v>
      </c>
      <c r="K137" s="6" t="s">
        <v>157</v>
      </c>
      <c r="L137" s="6" t="s">
        <v>224</v>
      </c>
      <c r="M137" s="6" t="s">
        <v>94</v>
      </c>
      <c r="N137" s="6"/>
      <c r="O137" s="4"/>
    </row>
    <row r="138" ht="15.75" hidden="1" customHeight="1">
      <c r="A138" s="5">
        <v>462.0</v>
      </c>
      <c r="B138" s="5">
        <v>12.0</v>
      </c>
      <c r="C138" s="6" t="s">
        <v>481</v>
      </c>
      <c r="D138" s="6" t="s">
        <v>482</v>
      </c>
      <c r="E138" s="6" t="s">
        <v>17</v>
      </c>
      <c r="F138" s="7" t="s">
        <v>507</v>
      </c>
      <c r="G138" s="7" t="s">
        <v>507</v>
      </c>
      <c r="H138" s="6" t="s">
        <v>227</v>
      </c>
      <c r="I138" s="6" t="s">
        <v>228</v>
      </c>
      <c r="J138" s="6" t="s">
        <v>76</v>
      </c>
      <c r="K138" s="6" t="s">
        <v>41</v>
      </c>
      <c r="L138" s="6" t="s">
        <v>118</v>
      </c>
      <c r="M138" s="10" t="s">
        <v>229</v>
      </c>
      <c r="N138" s="6"/>
      <c r="O138" s="4"/>
    </row>
    <row r="139" ht="15.75" hidden="1" customHeight="1">
      <c r="A139" s="5">
        <v>427.0</v>
      </c>
      <c r="B139" s="5">
        <v>12.0</v>
      </c>
      <c r="C139" s="6" t="s">
        <v>481</v>
      </c>
      <c r="D139" s="6" t="s">
        <v>482</v>
      </c>
      <c r="E139" s="6" t="s">
        <v>17</v>
      </c>
      <c r="F139" s="7" t="s">
        <v>508</v>
      </c>
      <c r="G139" s="7" t="s">
        <v>508</v>
      </c>
      <c r="H139" s="6" t="s">
        <v>509</v>
      </c>
      <c r="I139" s="8" t="s">
        <v>236</v>
      </c>
      <c r="J139" s="6" t="s">
        <v>40</v>
      </c>
      <c r="K139" s="6" t="s">
        <v>41</v>
      </c>
      <c r="L139" s="9" t="s">
        <v>42</v>
      </c>
      <c r="M139" s="6" t="s">
        <v>43</v>
      </c>
      <c r="N139" s="6" t="s">
        <v>44</v>
      </c>
      <c r="O139" s="17"/>
    </row>
    <row r="140" ht="15.75" hidden="1" customHeight="1">
      <c r="A140" s="5">
        <v>431.0</v>
      </c>
      <c r="B140" s="5">
        <v>12.0</v>
      </c>
      <c r="C140" s="6" t="s">
        <v>481</v>
      </c>
      <c r="D140" s="6" t="s">
        <v>482</v>
      </c>
      <c r="E140" s="6" t="s">
        <v>17</v>
      </c>
      <c r="F140" s="7" t="s">
        <v>510</v>
      </c>
      <c r="G140" s="7" t="s">
        <v>510</v>
      </c>
      <c r="H140" s="6" t="s">
        <v>509</v>
      </c>
      <c r="I140" s="8" t="s">
        <v>47</v>
      </c>
      <c r="J140" s="6" t="s">
        <v>47</v>
      </c>
      <c r="K140" s="6" t="s">
        <v>41</v>
      </c>
      <c r="L140" s="6" t="s">
        <v>49</v>
      </c>
      <c r="M140" s="6" t="s">
        <v>50</v>
      </c>
      <c r="N140" s="6"/>
      <c r="O140" s="17"/>
    </row>
    <row r="141" ht="15.75" hidden="1" customHeight="1">
      <c r="A141" s="5">
        <v>456.0</v>
      </c>
      <c r="B141" s="5">
        <v>12.0</v>
      </c>
      <c r="C141" s="6" t="s">
        <v>481</v>
      </c>
      <c r="D141" s="6" t="s">
        <v>482</v>
      </c>
      <c r="E141" s="6" t="s">
        <v>17</v>
      </c>
      <c r="F141" s="7" t="s">
        <v>511</v>
      </c>
      <c r="G141" s="7" t="s">
        <v>511</v>
      </c>
      <c r="H141" s="6" t="s">
        <v>110</v>
      </c>
      <c r="I141" s="8" t="s">
        <v>52</v>
      </c>
      <c r="J141" s="6" t="s">
        <v>52</v>
      </c>
      <c r="K141" s="6" t="s">
        <v>41</v>
      </c>
      <c r="L141" s="6" t="s">
        <v>250</v>
      </c>
      <c r="M141" s="6" t="s">
        <v>50</v>
      </c>
      <c r="N141" s="6"/>
      <c r="O141" s="17"/>
    </row>
    <row r="142" ht="15.75" hidden="1" customHeight="1">
      <c r="A142" s="5">
        <v>455.0</v>
      </c>
      <c r="B142" s="5">
        <v>12.0</v>
      </c>
      <c r="C142" s="6" t="s">
        <v>481</v>
      </c>
      <c r="D142" s="6" t="s">
        <v>482</v>
      </c>
      <c r="E142" s="6" t="s">
        <v>17</v>
      </c>
      <c r="F142" s="7" t="s">
        <v>512</v>
      </c>
      <c r="G142" s="7" t="s">
        <v>512</v>
      </c>
      <c r="H142" s="6" t="s">
        <v>110</v>
      </c>
      <c r="I142" s="8" t="s">
        <v>56</v>
      </c>
      <c r="J142" s="6" t="s">
        <v>56</v>
      </c>
      <c r="K142" s="6" t="s">
        <v>41</v>
      </c>
      <c r="L142" s="6" t="s">
        <v>253</v>
      </c>
      <c r="M142" s="6" t="s">
        <v>254</v>
      </c>
      <c r="N142" s="6"/>
      <c r="O142" s="17"/>
    </row>
    <row r="143" ht="15.75" hidden="1" customHeight="1">
      <c r="A143" s="5">
        <v>457.0</v>
      </c>
      <c r="B143" s="5">
        <v>12.0</v>
      </c>
      <c r="C143" s="6" t="s">
        <v>481</v>
      </c>
      <c r="D143" s="6" t="s">
        <v>482</v>
      </c>
      <c r="E143" s="6" t="s">
        <v>17</v>
      </c>
      <c r="F143" s="7" t="s">
        <v>513</v>
      </c>
      <c r="G143" s="7" t="s">
        <v>513</v>
      </c>
      <c r="H143" s="6" t="s">
        <v>110</v>
      </c>
      <c r="I143" s="8" t="s">
        <v>262</v>
      </c>
      <c r="J143" s="6" t="s">
        <v>262</v>
      </c>
      <c r="K143" s="6" t="s">
        <v>41</v>
      </c>
      <c r="L143" s="10" t="s">
        <v>263</v>
      </c>
      <c r="M143" s="6" t="s">
        <v>264</v>
      </c>
      <c r="N143" s="6"/>
      <c r="O143" s="17"/>
    </row>
    <row r="144" ht="15.75" hidden="1" customHeight="1">
      <c r="A144" s="5">
        <v>458.0</v>
      </c>
      <c r="B144" s="5">
        <v>12.0</v>
      </c>
      <c r="C144" s="6" t="s">
        <v>481</v>
      </c>
      <c r="D144" s="6" t="s">
        <v>482</v>
      </c>
      <c r="E144" s="6" t="s">
        <v>17</v>
      </c>
      <c r="F144" s="7" t="s">
        <v>514</v>
      </c>
      <c r="G144" s="7" t="s">
        <v>514</v>
      </c>
      <c r="H144" s="6" t="s">
        <v>110</v>
      </c>
      <c r="I144" s="8" t="s">
        <v>268</v>
      </c>
      <c r="J144" s="6" t="s">
        <v>268</v>
      </c>
      <c r="K144" s="6" t="s">
        <v>41</v>
      </c>
      <c r="L144" s="6" t="s">
        <v>269</v>
      </c>
      <c r="M144" s="6" t="s">
        <v>50</v>
      </c>
      <c r="N144" s="6"/>
      <c r="O144" s="17"/>
    </row>
    <row r="145" ht="15.75" hidden="1" customHeight="1">
      <c r="A145" s="5">
        <v>432.0</v>
      </c>
      <c r="B145" s="5">
        <v>12.0</v>
      </c>
      <c r="C145" s="6" t="s">
        <v>481</v>
      </c>
      <c r="D145" s="6" t="s">
        <v>482</v>
      </c>
      <c r="E145" s="6" t="s">
        <v>17</v>
      </c>
      <c r="F145" s="7" t="s">
        <v>515</v>
      </c>
      <c r="G145" s="7" t="s">
        <v>515</v>
      </c>
      <c r="H145" s="6" t="s">
        <v>509</v>
      </c>
      <c r="I145" s="8" t="s">
        <v>450</v>
      </c>
      <c r="J145" s="6" t="s">
        <v>154</v>
      </c>
      <c r="K145" s="6" t="s">
        <v>41</v>
      </c>
      <c r="L145" s="9" t="s">
        <v>263</v>
      </c>
      <c r="M145" s="6" t="s">
        <v>273</v>
      </c>
      <c r="N145" s="6"/>
      <c r="O145" s="17"/>
    </row>
    <row r="146" ht="15.75" hidden="1" customHeight="1">
      <c r="A146" s="5">
        <v>459.0</v>
      </c>
      <c r="B146" s="5">
        <v>12.0</v>
      </c>
      <c r="C146" s="6" t="s">
        <v>481</v>
      </c>
      <c r="D146" s="6" t="s">
        <v>482</v>
      </c>
      <c r="E146" s="6" t="s">
        <v>17</v>
      </c>
      <c r="F146" s="7" t="s">
        <v>516</v>
      </c>
      <c r="G146" s="7" t="s">
        <v>517</v>
      </c>
      <c r="H146" s="6" t="s">
        <v>110</v>
      </c>
      <c r="I146" s="8" t="s">
        <v>458</v>
      </c>
      <c r="J146" s="6" t="s">
        <v>458</v>
      </c>
      <c r="K146" s="6" t="s">
        <v>41</v>
      </c>
      <c r="L146" s="9" t="s">
        <v>263</v>
      </c>
      <c r="M146" s="6" t="s">
        <v>459</v>
      </c>
      <c r="N146" s="6"/>
      <c r="O146" s="17"/>
    </row>
    <row r="147" ht="15.75" hidden="1" customHeight="1">
      <c r="A147" s="5">
        <v>449.0</v>
      </c>
      <c r="B147" s="5">
        <v>12.0</v>
      </c>
      <c r="C147" s="6" t="s">
        <v>481</v>
      </c>
      <c r="D147" s="6" t="s">
        <v>482</v>
      </c>
      <c r="E147" s="6" t="s">
        <v>17</v>
      </c>
      <c r="F147" s="7" t="s">
        <v>518</v>
      </c>
      <c r="G147" s="7" t="s">
        <v>518</v>
      </c>
      <c r="H147" s="6" t="s">
        <v>19</v>
      </c>
      <c r="I147" s="6" t="s">
        <v>279</v>
      </c>
      <c r="J147" s="6" t="s">
        <v>98</v>
      </c>
      <c r="K147" s="6" t="s">
        <v>41</v>
      </c>
      <c r="L147" s="9" t="s">
        <v>351</v>
      </c>
      <c r="M147" s="6" t="s">
        <v>23</v>
      </c>
      <c r="N147" s="6"/>
      <c r="O147" s="4"/>
    </row>
    <row r="148" ht="15.75" hidden="1" customHeight="1">
      <c r="A148" s="5">
        <v>434.0</v>
      </c>
      <c r="B148" s="5">
        <v>12.0</v>
      </c>
      <c r="C148" s="6" t="s">
        <v>481</v>
      </c>
      <c r="D148" s="6" t="s">
        <v>482</v>
      </c>
      <c r="E148" s="6" t="s">
        <v>17</v>
      </c>
      <c r="F148" s="7" t="s">
        <v>519</v>
      </c>
      <c r="G148" s="7" t="s">
        <v>519</v>
      </c>
      <c r="H148" s="6" t="s">
        <v>30</v>
      </c>
      <c r="I148" s="9" t="s">
        <v>354</v>
      </c>
      <c r="J148" s="6" t="s">
        <v>354</v>
      </c>
      <c r="K148" s="9" t="s">
        <v>21</v>
      </c>
      <c r="L148" s="9" t="s">
        <v>351</v>
      </c>
      <c r="M148" s="6" t="s">
        <v>355</v>
      </c>
      <c r="N148" s="6"/>
      <c r="O148" s="4"/>
    </row>
    <row r="149" ht="15.75" hidden="1" customHeight="1">
      <c r="A149" s="5">
        <v>438.0</v>
      </c>
      <c r="B149" s="5">
        <v>12.0</v>
      </c>
      <c r="C149" s="6" t="s">
        <v>481</v>
      </c>
      <c r="D149" s="6" t="s">
        <v>482</v>
      </c>
      <c r="E149" s="6" t="s">
        <v>17</v>
      </c>
      <c r="F149" s="7" t="s">
        <v>520</v>
      </c>
      <c r="G149" s="7" t="s">
        <v>520</v>
      </c>
      <c r="H149" s="6" t="s">
        <v>484</v>
      </c>
      <c r="I149" s="6" t="s">
        <v>521</v>
      </c>
      <c r="J149" s="6" t="s">
        <v>71</v>
      </c>
      <c r="K149" s="6" t="s">
        <v>103</v>
      </c>
      <c r="L149" s="6" t="s">
        <v>118</v>
      </c>
      <c r="M149" s="6" t="s">
        <v>522</v>
      </c>
      <c r="N149" s="6"/>
      <c r="O149" s="4"/>
    </row>
    <row r="150" ht="15.75" hidden="1" customHeight="1">
      <c r="A150" s="5">
        <v>429.0</v>
      </c>
      <c r="B150" s="5">
        <v>12.0</v>
      </c>
      <c r="C150" s="6" t="s">
        <v>481</v>
      </c>
      <c r="D150" s="6" t="s">
        <v>482</v>
      </c>
      <c r="E150" s="6" t="s">
        <v>17</v>
      </c>
      <c r="F150" s="7" t="s">
        <v>523</v>
      </c>
      <c r="G150" s="7" t="s">
        <v>523</v>
      </c>
      <c r="H150" s="6" t="s">
        <v>509</v>
      </c>
      <c r="I150" s="8" t="s">
        <v>524</v>
      </c>
      <c r="J150" s="6" t="s">
        <v>524</v>
      </c>
      <c r="K150" s="6" t="s">
        <v>103</v>
      </c>
      <c r="L150" s="6" t="s">
        <v>264</v>
      </c>
      <c r="M150" s="6" t="s">
        <v>203</v>
      </c>
      <c r="N150" s="6"/>
      <c r="O150" s="17"/>
    </row>
    <row r="151" ht="15.75" hidden="1" customHeight="1">
      <c r="A151" s="5">
        <v>425.0</v>
      </c>
      <c r="B151" s="5">
        <v>12.0</v>
      </c>
      <c r="C151" s="6" t="s">
        <v>481</v>
      </c>
      <c r="D151" s="6" t="s">
        <v>482</v>
      </c>
      <c r="E151" s="6" t="s">
        <v>17</v>
      </c>
      <c r="F151" s="7" t="s">
        <v>525</v>
      </c>
      <c r="G151" s="7" t="s">
        <v>525</v>
      </c>
      <c r="H151" s="6" t="s">
        <v>526</v>
      </c>
      <c r="I151" s="6" t="s">
        <v>527</v>
      </c>
      <c r="J151" s="6" t="s">
        <v>284</v>
      </c>
      <c r="K151" s="6" t="s">
        <v>285</v>
      </c>
      <c r="L151" s="6" t="s">
        <v>286</v>
      </c>
      <c r="M151" s="6"/>
      <c r="N151" s="6"/>
      <c r="O151" s="4"/>
    </row>
    <row r="152" ht="15.75" hidden="1" customHeight="1">
      <c r="A152" s="5">
        <v>452.0</v>
      </c>
      <c r="B152" s="5">
        <v>12.0</v>
      </c>
      <c r="C152" s="6" t="s">
        <v>481</v>
      </c>
      <c r="D152" s="6" t="s">
        <v>482</v>
      </c>
      <c r="E152" s="6" t="s">
        <v>17</v>
      </c>
      <c r="F152" s="7" t="s">
        <v>528</v>
      </c>
      <c r="G152" s="7" t="s">
        <v>528</v>
      </c>
      <c r="H152" s="6" t="s">
        <v>529</v>
      </c>
      <c r="I152" s="8" t="s">
        <v>471</v>
      </c>
      <c r="J152" s="6" t="s">
        <v>471</v>
      </c>
      <c r="K152" s="6" t="s">
        <v>285</v>
      </c>
      <c r="L152" s="6" t="s">
        <v>530</v>
      </c>
      <c r="M152" s="6"/>
      <c r="N152" s="6"/>
      <c r="O152" s="4"/>
    </row>
    <row r="153" ht="15.75" hidden="1" customHeight="1">
      <c r="A153" s="5">
        <v>448.0</v>
      </c>
      <c r="B153" s="5">
        <v>12.0</v>
      </c>
      <c r="C153" s="6" t="s">
        <v>481</v>
      </c>
      <c r="D153" s="6" t="s">
        <v>482</v>
      </c>
      <c r="E153" s="6" t="s">
        <v>17</v>
      </c>
      <c r="F153" s="7" t="s">
        <v>531</v>
      </c>
      <c r="G153" s="7" t="s">
        <v>531</v>
      </c>
      <c r="H153" s="6" t="s">
        <v>504</v>
      </c>
      <c r="I153" s="6" t="s">
        <v>296</v>
      </c>
      <c r="J153" s="6" t="s">
        <v>297</v>
      </c>
      <c r="K153" s="6" t="s">
        <v>26</v>
      </c>
      <c r="L153" s="6" t="s">
        <v>298</v>
      </c>
      <c r="M153" s="6" t="s">
        <v>299</v>
      </c>
      <c r="N153" s="6" t="s">
        <v>300</v>
      </c>
      <c r="O153" s="4"/>
    </row>
    <row r="154" ht="15.75" hidden="1" customHeight="1">
      <c r="A154" s="5">
        <v>426.0</v>
      </c>
      <c r="B154" s="5">
        <v>12.0</v>
      </c>
      <c r="C154" s="6" t="s">
        <v>481</v>
      </c>
      <c r="D154" s="6" t="s">
        <v>482</v>
      </c>
      <c r="E154" s="6" t="s">
        <v>17</v>
      </c>
      <c r="F154" s="7" t="s">
        <v>532</v>
      </c>
      <c r="G154" s="7" t="s">
        <v>532</v>
      </c>
      <c r="H154" s="6" t="s">
        <v>509</v>
      </c>
      <c r="I154" s="8" t="s">
        <v>307</v>
      </c>
      <c r="J154" s="6" t="s">
        <v>307</v>
      </c>
      <c r="K154" s="6" t="s">
        <v>308</v>
      </c>
      <c r="L154" s="6" t="s">
        <v>53</v>
      </c>
      <c r="M154" s="6" t="s">
        <v>309</v>
      </c>
      <c r="N154" s="6"/>
      <c r="O154" s="6"/>
    </row>
    <row r="155" ht="15.75" hidden="1" customHeight="1">
      <c r="A155" s="5">
        <v>461.0</v>
      </c>
      <c r="B155" s="5">
        <v>12.0</v>
      </c>
      <c r="C155" s="6" t="s">
        <v>481</v>
      </c>
      <c r="D155" s="6" t="s">
        <v>482</v>
      </c>
      <c r="E155" s="6" t="s">
        <v>17</v>
      </c>
      <c r="F155" s="7" t="s">
        <v>533</v>
      </c>
      <c r="G155" s="7" t="s">
        <v>533</v>
      </c>
      <c r="H155" s="6" t="s">
        <v>122</v>
      </c>
      <c r="I155" s="6" t="s">
        <v>534</v>
      </c>
      <c r="J155" s="6" t="s">
        <v>80</v>
      </c>
      <c r="K155" s="6" t="s">
        <v>81</v>
      </c>
      <c r="L155" s="6" t="s">
        <v>77</v>
      </c>
      <c r="M155" s="6"/>
      <c r="N155" s="6"/>
      <c r="O155" s="4"/>
    </row>
    <row r="156" ht="15.75" hidden="1" customHeight="1">
      <c r="A156" s="5">
        <v>428.0</v>
      </c>
      <c r="B156" s="5">
        <v>12.0</v>
      </c>
      <c r="C156" s="6" t="s">
        <v>481</v>
      </c>
      <c r="D156" s="6" t="s">
        <v>482</v>
      </c>
      <c r="E156" s="6" t="s">
        <v>17</v>
      </c>
      <c r="F156" s="7" t="s">
        <v>535</v>
      </c>
      <c r="G156" s="7" t="s">
        <v>535</v>
      </c>
      <c r="H156" s="6" t="s">
        <v>509</v>
      </c>
      <c r="I156" s="6" t="s">
        <v>536</v>
      </c>
      <c r="J156" s="6" t="s">
        <v>537</v>
      </c>
      <c r="K156" s="6" t="s">
        <v>112</v>
      </c>
      <c r="L156" s="6" t="s">
        <v>264</v>
      </c>
      <c r="M156" s="6"/>
      <c r="N156" s="6"/>
      <c r="O156" s="17"/>
    </row>
    <row r="157" ht="15.75" hidden="1" customHeight="1">
      <c r="A157" s="19">
        <v>505.0</v>
      </c>
      <c r="B157" s="19">
        <v>7.0</v>
      </c>
      <c r="C157" s="20" t="s">
        <v>538</v>
      </c>
      <c r="D157" s="20" t="s">
        <v>539</v>
      </c>
      <c r="E157" s="20" t="s">
        <v>17</v>
      </c>
      <c r="F157" s="21" t="s">
        <v>540</v>
      </c>
      <c r="G157" s="21" t="s">
        <v>540</v>
      </c>
      <c r="H157" s="20" t="s">
        <v>110</v>
      </c>
      <c r="I157" s="20" t="s">
        <v>541</v>
      </c>
      <c r="J157" s="20" t="s">
        <v>541</v>
      </c>
      <c r="K157" s="20" t="s">
        <v>326</v>
      </c>
      <c r="L157" s="20" t="s">
        <v>326</v>
      </c>
      <c r="M157" s="20" t="s">
        <v>542</v>
      </c>
      <c r="N157" s="20" t="s">
        <v>113</v>
      </c>
      <c r="O157" s="20">
        <v>0.0</v>
      </c>
      <c r="P157" s="23"/>
      <c r="Q157" s="23"/>
      <c r="R157" s="23"/>
      <c r="S157" s="23"/>
      <c r="T157" s="23"/>
      <c r="U157" s="23"/>
      <c r="V157" s="23"/>
      <c r="W157" s="23"/>
      <c r="X157" s="23"/>
      <c r="Y157" s="23"/>
      <c r="Z157" s="23"/>
    </row>
    <row r="158" ht="15.75" hidden="1" customHeight="1">
      <c r="A158" s="5">
        <v>498.0</v>
      </c>
      <c r="B158" s="5">
        <v>7.0</v>
      </c>
      <c r="C158" s="6" t="s">
        <v>538</v>
      </c>
      <c r="D158" s="6" t="s">
        <v>539</v>
      </c>
      <c r="E158" s="6" t="s">
        <v>17</v>
      </c>
      <c r="F158" s="7" t="s">
        <v>543</v>
      </c>
      <c r="G158" s="7" t="s">
        <v>543</v>
      </c>
      <c r="H158" s="6" t="s">
        <v>110</v>
      </c>
      <c r="I158" s="8" t="s">
        <v>544</v>
      </c>
      <c r="J158" s="6" t="s">
        <v>544</v>
      </c>
      <c r="K158" s="6" t="s">
        <v>545</v>
      </c>
      <c r="L158" s="6" t="s">
        <v>546</v>
      </c>
      <c r="N158" s="6"/>
      <c r="O158" s="17"/>
    </row>
    <row r="159" ht="15.75" hidden="1" customHeight="1">
      <c r="A159" s="5">
        <v>500.0</v>
      </c>
      <c r="B159" s="5">
        <v>7.0</v>
      </c>
      <c r="C159" s="6" t="s">
        <v>538</v>
      </c>
      <c r="D159" s="6" t="s">
        <v>539</v>
      </c>
      <c r="E159" s="6" t="s">
        <v>17</v>
      </c>
      <c r="F159" s="7" t="s">
        <v>547</v>
      </c>
      <c r="G159" s="7" t="s">
        <v>547</v>
      </c>
      <c r="H159" s="6" t="s">
        <v>110</v>
      </c>
      <c r="I159" s="8" t="s">
        <v>202</v>
      </c>
      <c r="J159" s="6" t="s">
        <v>202</v>
      </c>
      <c r="K159" s="6" t="s">
        <v>130</v>
      </c>
      <c r="L159" s="6" t="s">
        <v>269</v>
      </c>
      <c r="M159" s="6" t="s">
        <v>113</v>
      </c>
      <c r="N159" s="6" t="s">
        <v>548</v>
      </c>
      <c r="O159" s="17"/>
    </row>
    <row r="160" ht="15.75" hidden="1" customHeight="1">
      <c r="A160" s="5">
        <v>512.0</v>
      </c>
      <c r="B160" s="5">
        <v>7.0</v>
      </c>
      <c r="C160" s="6" t="s">
        <v>538</v>
      </c>
      <c r="D160" s="6" t="s">
        <v>539</v>
      </c>
      <c r="E160" s="6" t="s">
        <v>17</v>
      </c>
      <c r="F160" s="7" t="s">
        <v>549</v>
      </c>
      <c r="G160" s="7" t="s">
        <v>549</v>
      </c>
      <c r="H160" s="6" t="s">
        <v>110</v>
      </c>
      <c r="I160" s="8" t="s">
        <v>550</v>
      </c>
      <c r="J160" s="6" t="s">
        <v>550</v>
      </c>
      <c r="K160" s="6" t="s">
        <v>326</v>
      </c>
      <c r="L160" s="9" t="s">
        <v>21</v>
      </c>
      <c r="M160" s="6" t="s">
        <v>551</v>
      </c>
      <c r="N160" s="6"/>
      <c r="O160" s="17"/>
    </row>
    <row r="161" ht="15.75" hidden="1" customHeight="1">
      <c r="A161" s="5">
        <v>511.0</v>
      </c>
      <c r="B161" s="5">
        <v>7.0</v>
      </c>
      <c r="C161" s="6" t="s">
        <v>538</v>
      </c>
      <c r="D161" s="6" t="s">
        <v>539</v>
      </c>
      <c r="E161" s="6" t="s">
        <v>17</v>
      </c>
      <c r="F161" s="7" t="s">
        <v>552</v>
      </c>
      <c r="G161" s="7" t="s">
        <v>552</v>
      </c>
      <c r="H161" s="6" t="s">
        <v>110</v>
      </c>
      <c r="I161" s="8" t="s">
        <v>553</v>
      </c>
      <c r="J161" s="6" t="s">
        <v>40</v>
      </c>
      <c r="K161" s="6" t="s">
        <v>41</v>
      </c>
      <c r="L161" s="9" t="s">
        <v>42</v>
      </c>
      <c r="M161" s="6" t="s">
        <v>43</v>
      </c>
      <c r="N161" s="6" t="s">
        <v>44</v>
      </c>
      <c r="O161" s="17"/>
    </row>
    <row r="162" ht="15.75" hidden="1" customHeight="1">
      <c r="A162" s="5">
        <v>515.0</v>
      </c>
      <c r="B162" s="5">
        <v>7.0</v>
      </c>
      <c r="C162" s="6" t="s">
        <v>538</v>
      </c>
      <c r="D162" s="6" t="s">
        <v>539</v>
      </c>
      <c r="E162" s="6" t="s">
        <v>17</v>
      </c>
      <c r="F162" s="7" t="s">
        <v>554</v>
      </c>
      <c r="G162" s="7" t="s">
        <v>554</v>
      </c>
      <c r="H162" s="6" t="s">
        <v>110</v>
      </c>
      <c r="I162" s="8" t="s">
        <v>236</v>
      </c>
      <c r="J162" s="6" t="s">
        <v>40</v>
      </c>
      <c r="K162" s="6" t="s">
        <v>41</v>
      </c>
      <c r="L162" s="9" t="s">
        <v>42</v>
      </c>
      <c r="M162" s="6" t="s">
        <v>43</v>
      </c>
      <c r="N162" s="6" t="s">
        <v>44</v>
      </c>
      <c r="O162" s="17"/>
    </row>
    <row r="163" ht="15.75" hidden="1" customHeight="1">
      <c r="A163" s="5">
        <v>510.0</v>
      </c>
      <c r="B163" s="5">
        <v>7.0</v>
      </c>
      <c r="C163" s="6" t="s">
        <v>538</v>
      </c>
      <c r="D163" s="6" t="s">
        <v>539</v>
      </c>
      <c r="E163" s="6" t="s">
        <v>17</v>
      </c>
      <c r="F163" s="7" t="s">
        <v>555</v>
      </c>
      <c r="G163" s="7" t="s">
        <v>555</v>
      </c>
      <c r="H163" s="6" t="s">
        <v>110</v>
      </c>
      <c r="I163" s="8" t="s">
        <v>52</v>
      </c>
      <c r="J163" s="6" t="s">
        <v>52</v>
      </c>
      <c r="K163" s="6" t="s">
        <v>41</v>
      </c>
      <c r="L163" s="9" t="s">
        <v>42</v>
      </c>
      <c r="M163" s="6" t="s">
        <v>43</v>
      </c>
      <c r="N163" s="6" t="s">
        <v>206</v>
      </c>
      <c r="O163" s="17"/>
    </row>
    <row r="164" ht="15.75" hidden="1" customHeight="1">
      <c r="A164" s="19">
        <v>514.0</v>
      </c>
      <c r="B164" s="19">
        <v>7.0</v>
      </c>
      <c r="C164" s="20" t="s">
        <v>538</v>
      </c>
      <c r="D164" s="20" t="s">
        <v>539</v>
      </c>
      <c r="E164" s="20" t="s">
        <v>17</v>
      </c>
      <c r="F164" s="21" t="s">
        <v>556</v>
      </c>
      <c r="G164" s="21" t="s">
        <v>556</v>
      </c>
      <c r="H164" s="20" t="s">
        <v>110</v>
      </c>
      <c r="I164" s="8" t="s">
        <v>557</v>
      </c>
      <c r="J164" s="20" t="s">
        <v>557</v>
      </c>
      <c r="K164" s="20" t="s">
        <v>41</v>
      </c>
      <c r="L164" s="23" t="s">
        <v>42</v>
      </c>
      <c r="M164" s="20" t="s">
        <v>558</v>
      </c>
      <c r="N164" s="20"/>
      <c r="O164" s="20"/>
      <c r="P164" s="23"/>
      <c r="Q164" s="23"/>
      <c r="R164" s="23"/>
      <c r="S164" s="23"/>
      <c r="T164" s="23"/>
      <c r="U164" s="23"/>
      <c r="V164" s="23"/>
      <c r="W164" s="23"/>
      <c r="X164" s="23"/>
      <c r="Y164" s="23"/>
      <c r="Z164" s="23"/>
    </row>
    <row r="165" ht="15.75" hidden="1" customHeight="1">
      <c r="A165" s="5">
        <v>503.0</v>
      </c>
      <c r="B165" s="5">
        <v>7.0</v>
      </c>
      <c r="C165" s="6" t="s">
        <v>538</v>
      </c>
      <c r="D165" s="6" t="s">
        <v>539</v>
      </c>
      <c r="E165" s="6" t="s">
        <v>17</v>
      </c>
      <c r="F165" s="7" t="s">
        <v>559</v>
      </c>
      <c r="G165" s="7" t="s">
        <v>560</v>
      </c>
      <c r="H165" s="6" t="s">
        <v>110</v>
      </c>
      <c r="I165" s="8" t="s">
        <v>561</v>
      </c>
      <c r="J165" s="6" t="s">
        <v>262</v>
      </c>
      <c r="K165" s="6" t="s">
        <v>41</v>
      </c>
      <c r="L165" s="10" t="s">
        <v>263</v>
      </c>
      <c r="M165" s="6" t="s">
        <v>264</v>
      </c>
      <c r="N165" s="6"/>
      <c r="O165" s="17"/>
    </row>
    <row r="166" ht="15.75" hidden="1" customHeight="1">
      <c r="A166" s="19">
        <v>527.0</v>
      </c>
      <c r="B166" s="19">
        <v>7.0</v>
      </c>
      <c r="C166" s="20" t="s">
        <v>538</v>
      </c>
      <c r="D166" s="20" t="s">
        <v>539</v>
      </c>
      <c r="E166" s="20" t="s">
        <v>17</v>
      </c>
      <c r="F166" s="21" t="s">
        <v>562</v>
      </c>
      <c r="G166" s="21" t="s">
        <v>562</v>
      </c>
      <c r="H166" s="20" t="s">
        <v>110</v>
      </c>
      <c r="I166" s="8" t="s">
        <v>563</v>
      </c>
      <c r="J166" s="20" t="s">
        <v>154</v>
      </c>
      <c r="K166" s="20" t="s">
        <v>326</v>
      </c>
      <c r="L166" s="10" t="s">
        <v>336</v>
      </c>
      <c r="M166" s="20" t="s">
        <v>273</v>
      </c>
      <c r="N166" s="20"/>
      <c r="O166" s="20"/>
      <c r="P166" s="23"/>
      <c r="Q166" s="23"/>
      <c r="R166" s="23"/>
      <c r="S166" s="23"/>
      <c r="T166" s="23"/>
      <c r="U166" s="23"/>
      <c r="V166" s="23"/>
      <c r="W166" s="23"/>
      <c r="X166" s="23"/>
      <c r="Y166" s="23"/>
      <c r="Z166" s="23"/>
    </row>
    <row r="167" ht="15.75" hidden="1" customHeight="1">
      <c r="A167" s="5">
        <v>513.0</v>
      </c>
      <c r="B167" s="5">
        <v>7.0</v>
      </c>
      <c r="C167" s="6" t="s">
        <v>538</v>
      </c>
      <c r="D167" s="6" t="s">
        <v>539</v>
      </c>
      <c r="E167" s="6" t="s">
        <v>17</v>
      </c>
      <c r="F167" s="7" t="s">
        <v>564</v>
      </c>
      <c r="G167" s="7" t="s">
        <v>564</v>
      </c>
      <c r="H167" s="6" t="s">
        <v>110</v>
      </c>
      <c r="I167" s="8" t="s">
        <v>565</v>
      </c>
      <c r="J167" s="6" t="s">
        <v>154</v>
      </c>
      <c r="K167" s="6" t="s">
        <v>41</v>
      </c>
      <c r="L167" s="9" t="s">
        <v>263</v>
      </c>
      <c r="M167" s="6" t="s">
        <v>273</v>
      </c>
      <c r="N167" s="6"/>
      <c r="O167" s="17"/>
    </row>
    <row r="168" ht="15.75" hidden="1" customHeight="1">
      <c r="A168" s="19">
        <v>516.0</v>
      </c>
      <c r="B168" s="19">
        <v>7.0</v>
      </c>
      <c r="C168" s="20" t="s">
        <v>538</v>
      </c>
      <c r="D168" s="20" t="s">
        <v>539</v>
      </c>
      <c r="E168" s="20" t="s">
        <v>17</v>
      </c>
      <c r="F168" s="21" t="s">
        <v>566</v>
      </c>
      <c r="G168" s="21" t="s">
        <v>566</v>
      </c>
      <c r="H168" s="20" t="s">
        <v>110</v>
      </c>
      <c r="I168" s="8" t="s">
        <v>567</v>
      </c>
      <c r="J168" s="20" t="s">
        <v>154</v>
      </c>
      <c r="K168" s="20" t="s">
        <v>41</v>
      </c>
      <c r="L168" s="20" t="s">
        <v>42</v>
      </c>
      <c r="M168" s="20" t="s">
        <v>568</v>
      </c>
      <c r="N168" s="20"/>
      <c r="O168" s="20"/>
      <c r="P168" s="23"/>
      <c r="Q168" s="23"/>
      <c r="R168" s="23"/>
      <c r="S168" s="23"/>
      <c r="T168" s="23"/>
      <c r="U168" s="23"/>
      <c r="V168" s="23"/>
      <c r="W168" s="23"/>
      <c r="X168" s="23"/>
      <c r="Y168" s="23"/>
      <c r="Z168" s="23"/>
    </row>
    <row r="169" ht="15.75" hidden="1" customHeight="1">
      <c r="A169" s="19">
        <v>112.0</v>
      </c>
      <c r="B169" s="19">
        <v>2.0</v>
      </c>
      <c r="C169" s="20" t="s">
        <v>124</v>
      </c>
      <c r="D169" s="20" t="s">
        <v>125</v>
      </c>
      <c r="E169" s="20" t="s">
        <v>569</v>
      </c>
      <c r="F169" s="21" t="s">
        <v>570</v>
      </c>
      <c r="G169" s="21" t="s">
        <v>571</v>
      </c>
      <c r="H169" s="20" t="s">
        <v>110</v>
      </c>
      <c r="I169" s="20"/>
      <c r="J169" s="20"/>
      <c r="K169" s="20" t="s">
        <v>572</v>
      </c>
      <c r="L169" s="20" t="s">
        <v>546</v>
      </c>
      <c r="M169" s="20"/>
      <c r="N169" s="20"/>
      <c r="O169" s="20"/>
      <c r="P169" s="23"/>
      <c r="Q169" s="23"/>
      <c r="R169" s="23"/>
      <c r="S169" s="23"/>
      <c r="T169" s="23"/>
      <c r="U169" s="23"/>
      <c r="V169" s="23"/>
      <c r="W169" s="23"/>
      <c r="X169" s="23"/>
      <c r="Y169" s="23"/>
      <c r="Z169" s="23"/>
    </row>
    <row r="170" ht="15.75" hidden="1" customHeight="1">
      <c r="A170" s="5">
        <v>678.0</v>
      </c>
      <c r="B170" s="5">
        <v>13.0</v>
      </c>
      <c r="C170" s="6" t="s">
        <v>573</v>
      </c>
      <c r="D170" s="6" t="s">
        <v>574</v>
      </c>
      <c r="E170" s="6" t="s">
        <v>17</v>
      </c>
      <c r="F170" s="7" t="s">
        <v>575</v>
      </c>
      <c r="G170" s="7" t="s">
        <v>576</v>
      </c>
      <c r="H170" s="6" t="s">
        <v>577</v>
      </c>
      <c r="I170" s="6"/>
      <c r="J170" s="6"/>
      <c r="K170" s="6" t="s">
        <v>205</v>
      </c>
      <c r="L170" s="10" t="s">
        <v>578</v>
      </c>
      <c r="M170" s="6" t="s">
        <v>333</v>
      </c>
      <c r="N170" s="6"/>
      <c r="O170" s="17">
        <v>2.0</v>
      </c>
    </row>
    <row r="171" ht="15.75" hidden="1" customHeight="1">
      <c r="A171" s="5">
        <v>785.0</v>
      </c>
      <c r="B171" s="5">
        <v>14.0</v>
      </c>
      <c r="C171" s="6" t="s">
        <v>579</v>
      </c>
      <c r="D171" s="6" t="s">
        <v>580</v>
      </c>
      <c r="E171" s="6" t="s">
        <v>17</v>
      </c>
      <c r="F171" s="7" t="s">
        <v>581</v>
      </c>
      <c r="G171" s="7" t="s">
        <v>581</v>
      </c>
      <c r="H171" s="6" t="s">
        <v>582</v>
      </c>
      <c r="I171" s="6"/>
      <c r="J171" s="6"/>
      <c r="K171" s="6" t="s">
        <v>112</v>
      </c>
      <c r="L171" s="6" t="s">
        <v>333</v>
      </c>
      <c r="M171" s="6" t="s">
        <v>44</v>
      </c>
      <c r="N171" s="6" t="s">
        <v>304</v>
      </c>
      <c r="O171" s="17">
        <v>0.0</v>
      </c>
    </row>
    <row r="172" ht="15.75" hidden="1" customHeight="1">
      <c r="A172" s="5">
        <v>674.0</v>
      </c>
      <c r="B172" s="5">
        <v>13.0</v>
      </c>
      <c r="C172" s="6" t="s">
        <v>573</v>
      </c>
      <c r="D172" s="6" t="s">
        <v>574</v>
      </c>
      <c r="E172" s="6" t="s">
        <v>17</v>
      </c>
      <c r="F172" s="7" t="s">
        <v>583</v>
      </c>
      <c r="G172" s="7" t="s">
        <v>584</v>
      </c>
      <c r="H172" s="6" t="s">
        <v>577</v>
      </c>
      <c r="I172" s="6"/>
      <c r="J172" s="6"/>
      <c r="K172" s="6" t="s">
        <v>112</v>
      </c>
      <c r="L172" s="10" t="s">
        <v>333</v>
      </c>
      <c r="M172" s="6"/>
      <c r="N172" s="6"/>
      <c r="O172" s="17">
        <v>0.0</v>
      </c>
    </row>
    <row r="173" ht="15.75" hidden="1" customHeight="1">
      <c r="A173" s="19">
        <v>516.0</v>
      </c>
      <c r="B173" s="19">
        <v>7.0</v>
      </c>
      <c r="C173" s="20" t="s">
        <v>538</v>
      </c>
      <c r="D173" s="20" t="s">
        <v>539</v>
      </c>
      <c r="E173" s="20" t="s">
        <v>17</v>
      </c>
      <c r="F173" s="21" t="s">
        <v>566</v>
      </c>
      <c r="G173" s="21" t="s">
        <v>566</v>
      </c>
      <c r="H173" s="20" t="s">
        <v>110</v>
      </c>
      <c r="I173" s="8" t="s">
        <v>585</v>
      </c>
      <c r="J173" s="20" t="s">
        <v>585</v>
      </c>
      <c r="K173" s="20" t="s">
        <v>326</v>
      </c>
      <c r="L173" s="20" t="s">
        <v>586</v>
      </c>
      <c r="M173" s="20" t="s">
        <v>568</v>
      </c>
      <c r="N173" s="20"/>
      <c r="O173" s="20"/>
      <c r="P173" s="23"/>
      <c r="Q173" s="23"/>
      <c r="R173" s="23"/>
      <c r="S173" s="23"/>
      <c r="T173" s="23"/>
      <c r="U173" s="23"/>
      <c r="V173" s="23"/>
      <c r="W173" s="23"/>
      <c r="X173" s="23"/>
      <c r="Y173" s="23"/>
      <c r="Z173" s="23"/>
    </row>
    <row r="174" ht="15.75" hidden="1" customHeight="1">
      <c r="A174" s="5">
        <v>661.0</v>
      </c>
      <c r="B174" s="5">
        <v>13.0</v>
      </c>
      <c r="C174" s="6" t="s">
        <v>573</v>
      </c>
      <c r="D174" s="6" t="s">
        <v>574</v>
      </c>
      <c r="E174" s="6" t="s">
        <v>17</v>
      </c>
      <c r="F174" s="7" t="s">
        <v>587</v>
      </c>
      <c r="G174" s="7" t="s">
        <v>588</v>
      </c>
      <c r="H174" s="6" t="s">
        <v>133</v>
      </c>
      <c r="I174" s="6"/>
      <c r="J174" s="6"/>
      <c r="K174" s="6" t="s">
        <v>589</v>
      </c>
      <c r="L174" s="10" t="s">
        <v>590</v>
      </c>
      <c r="M174" s="6"/>
      <c r="O174" s="17">
        <v>0.0</v>
      </c>
    </row>
    <row r="175" ht="15.75" hidden="1" customHeight="1">
      <c r="A175" s="5">
        <v>392.0</v>
      </c>
      <c r="B175" s="5">
        <v>5.0</v>
      </c>
      <c r="C175" s="6" t="s">
        <v>396</v>
      </c>
      <c r="D175" s="6" t="s">
        <v>397</v>
      </c>
      <c r="E175" s="6" t="s">
        <v>569</v>
      </c>
      <c r="F175" s="7" t="s">
        <v>591</v>
      </c>
      <c r="G175" s="7" t="s">
        <v>592</v>
      </c>
      <c r="H175" s="6" t="s">
        <v>191</v>
      </c>
      <c r="I175" s="6"/>
      <c r="J175" s="6"/>
      <c r="K175" s="6" t="s">
        <v>130</v>
      </c>
      <c r="L175" s="6" t="s">
        <v>22</v>
      </c>
      <c r="M175" s="6" t="s">
        <v>135</v>
      </c>
      <c r="N175" s="6"/>
      <c r="O175" s="4"/>
    </row>
    <row r="176" ht="15.75" hidden="1" customHeight="1">
      <c r="A176" s="5">
        <v>220.0</v>
      </c>
      <c r="B176" s="5">
        <v>4.0</v>
      </c>
      <c r="C176" s="6" t="s">
        <v>187</v>
      </c>
      <c r="D176" s="6" t="s">
        <v>188</v>
      </c>
      <c r="E176" s="6" t="s">
        <v>569</v>
      </c>
      <c r="F176" s="7" t="s">
        <v>593</v>
      </c>
      <c r="G176" s="7" t="s">
        <v>594</v>
      </c>
      <c r="H176" s="6" t="s">
        <v>191</v>
      </c>
      <c r="I176" s="6"/>
      <c r="J176" s="6"/>
      <c r="K176" s="6" t="s">
        <v>130</v>
      </c>
      <c r="L176" s="6" t="s">
        <v>22</v>
      </c>
      <c r="M176" s="6" t="s">
        <v>135</v>
      </c>
      <c r="N176" s="6"/>
      <c r="O176" s="4"/>
    </row>
    <row r="177" ht="15.75" hidden="1" customHeight="1">
      <c r="A177" s="5">
        <v>666.0</v>
      </c>
      <c r="B177" s="5">
        <v>13.0</v>
      </c>
      <c r="C177" s="6" t="s">
        <v>573</v>
      </c>
      <c r="D177" s="6" t="s">
        <v>574</v>
      </c>
      <c r="E177" s="6" t="s">
        <v>569</v>
      </c>
      <c r="F177" s="7" t="s">
        <v>595</v>
      </c>
      <c r="G177" s="7" t="s">
        <v>596</v>
      </c>
      <c r="H177" s="6" t="s">
        <v>172</v>
      </c>
      <c r="I177" s="6"/>
      <c r="J177" s="6"/>
      <c r="K177" s="6" t="s">
        <v>26</v>
      </c>
      <c r="L177" s="10" t="s">
        <v>597</v>
      </c>
      <c r="M177" s="6"/>
      <c r="N177" s="6"/>
      <c r="O177" s="17">
        <v>0.0</v>
      </c>
    </row>
    <row r="178" ht="15.75" hidden="1" customHeight="1">
      <c r="A178" s="5">
        <v>76.0</v>
      </c>
      <c r="B178" s="5">
        <v>9.0</v>
      </c>
      <c r="C178" s="6" t="s">
        <v>598</v>
      </c>
      <c r="D178" s="6" t="s">
        <v>599</v>
      </c>
      <c r="E178" s="6" t="s">
        <v>17</v>
      </c>
      <c r="F178" s="7" t="s">
        <v>600</v>
      </c>
      <c r="G178" s="7" t="s">
        <v>600</v>
      </c>
      <c r="H178" s="6" t="s">
        <v>526</v>
      </c>
      <c r="I178" s="6"/>
      <c r="J178" s="6"/>
      <c r="K178" s="6" t="s">
        <v>112</v>
      </c>
      <c r="L178" s="6" t="s">
        <v>145</v>
      </c>
      <c r="M178" s="6"/>
      <c r="N178" s="6"/>
      <c r="O178" s="4">
        <v>2.0</v>
      </c>
    </row>
    <row r="179" ht="15.75" hidden="1" customHeight="1">
      <c r="A179" s="5">
        <v>537.0</v>
      </c>
      <c r="B179" s="5">
        <v>7.0</v>
      </c>
      <c r="C179" s="6" t="s">
        <v>538</v>
      </c>
      <c r="D179" s="6" t="s">
        <v>539</v>
      </c>
      <c r="E179" s="6" t="s">
        <v>17</v>
      </c>
      <c r="F179" s="7" t="s">
        <v>601</v>
      </c>
      <c r="G179" s="7" t="s">
        <v>602</v>
      </c>
      <c r="H179" s="6" t="s">
        <v>96</v>
      </c>
      <c r="I179" s="8" t="s">
        <v>98</v>
      </c>
      <c r="J179" s="6" t="s">
        <v>98</v>
      </c>
      <c r="K179" s="6" t="s">
        <v>157</v>
      </c>
      <c r="L179" s="6" t="s">
        <v>158</v>
      </c>
      <c r="M179" s="6" t="s">
        <v>280</v>
      </c>
      <c r="N179" s="6" t="s">
        <v>23</v>
      </c>
      <c r="O179" s="17" t="s">
        <v>159</v>
      </c>
    </row>
    <row r="180" ht="15.75" hidden="1" customHeight="1">
      <c r="A180" s="5">
        <v>153.0</v>
      </c>
      <c r="B180" s="5">
        <v>3.0</v>
      </c>
      <c r="C180" s="6" t="s">
        <v>603</v>
      </c>
      <c r="D180" s="6" t="s">
        <v>604</v>
      </c>
      <c r="E180" s="6" t="s">
        <v>17</v>
      </c>
      <c r="F180" s="7" t="s">
        <v>605</v>
      </c>
      <c r="G180" s="7" t="s">
        <v>605</v>
      </c>
      <c r="H180" s="6" t="s">
        <v>96</v>
      </c>
      <c r="I180" s="6"/>
      <c r="J180" s="6"/>
      <c r="K180" s="6" t="s">
        <v>589</v>
      </c>
      <c r="L180" s="6" t="s">
        <v>606</v>
      </c>
      <c r="M180" s="6"/>
      <c r="N180" s="6"/>
      <c r="O180" s="17">
        <v>2.0</v>
      </c>
    </row>
    <row r="181" ht="15.75" hidden="1" customHeight="1">
      <c r="A181" s="5">
        <v>72.0</v>
      </c>
      <c r="B181" s="5">
        <v>9.0</v>
      </c>
      <c r="C181" s="6" t="s">
        <v>598</v>
      </c>
      <c r="D181" s="6" t="s">
        <v>599</v>
      </c>
      <c r="E181" s="6" t="s">
        <v>17</v>
      </c>
      <c r="F181" s="7" t="s">
        <v>607</v>
      </c>
      <c r="G181" s="7" t="s">
        <v>607</v>
      </c>
      <c r="H181" s="6" t="s">
        <v>526</v>
      </c>
      <c r="I181" s="6"/>
      <c r="J181" s="6"/>
      <c r="K181" s="6" t="s">
        <v>81</v>
      </c>
      <c r="L181" s="6" t="s">
        <v>608</v>
      </c>
      <c r="M181" s="6"/>
      <c r="N181" s="6"/>
      <c r="O181" s="4">
        <v>0.0</v>
      </c>
    </row>
    <row r="182" ht="15.75" hidden="1" customHeight="1">
      <c r="A182" s="5">
        <v>295.0</v>
      </c>
      <c r="B182" s="5">
        <v>11.0</v>
      </c>
      <c r="C182" s="6" t="s">
        <v>609</v>
      </c>
      <c r="D182" s="6" t="s">
        <v>610</v>
      </c>
      <c r="E182" s="6" t="s">
        <v>17</v>
      </c>
      <c r="F182" s="7" t="s">
        <v>611</v>
      </c>
      <c r="G182" s="7" t="s">
        <v>611</v>
      </c>
      <c r="H182" s="6" t="s">
        <v>152</v>
      </c>
      <c r="I182" s="6"/>
      <c r="J182" s="6"/>
      <c r="K182" s="6" t="s">
        <v>130</v>
      </c>
      <c r="L182" s="6" t="s">
        <v>612</v>
      </c>
      <c r="M182" s="6"/>
      <c r="N182" s="6"/>
      <c r="O182" s="17">
        <v>2.0</v>
      </c>
    </row>
    <row r="183" ht="15.75" hidden="1" customHeight="1">
      <c r="A183" s="5">
        <v>8.0</v>
      </c>
      <c r="B183" s="5">
        <v>1.0</v>
      </c>
      <c r="C183" s="6" t="s">
        <v>82</v>
      </c>
      <c r="D183" s="6" t="s">
        <v>83</v>
      </c>
      <c r="E183" s="6" t="s">
        <v>569</v>
      </c>
      <c r="F183" s="7" t="s">
        <v>613</v>
      </c>
      <c r="G183" s="7" t="s">
        <v>613</v>
      </c>
      <c r="H183" s="6" t="s">
        <v>191</v>
      </c>
      <c r="I183" s="6"/>
      <c r="J183" s="6"/>
      <c r="K183" s="6" t="s">
        <v>112</v>
      </c>
      <c r="L183" s="6" t="s">
        <v>191</v>
      </c>
      <c r="M183" s="6"/>
      <c r="N183" s="6"/>
      <c r="O183" s="4">
        <v>0.0</v>
      </c>
    </row>
    <row r="184" ht="15.75" hidden="1" customHeight="1">
      <c r="A184" s="5">
        <v>12.0</v>
      </c>
      <c r="B184" s="5">
        <v>1.0</v>
      </c>
      <c r="C184" s="6" t="s">
        <v>82</v>
      </c>
      <c r="D184" s="6" t="s">
        <v>83</v>
      </c>
      <c r="E184" s="6" t="s">
        <v>569</v>
      </c>
      <c r="F184" s="7" t="s">
        <v>614</v>
      </c>
      <c r="G184" s="7" t="s">
        <v>615</v>
      </c>
      <c r="H184" s="6" t="s">
        <v>191</v>
      </c>
      <c r="I184" s="6"/>
      <c r="J184" s="6"/>
      <c r="K184" s="6" t="s">
        <v>130</v>
      </c>
      <c r="L184" s="6" t="s">
        <v>22</v>
      </c>
      <c r="M184" s="6" t="s">
        <v>135</v>
      </c>
      <c r="N184" s="6"/>
      <c r="O184" s="4"/>
    </row>
    <row r="185" ht="15.75" hidden="1" customHeight="1">
      <c r="A185" s="5">
        <v>647.0</v>
      </c>
      <c r="B185" s="5">
        <v>13.0</v>
      </c>
      <c r="C185" s="6" t="s">
        <v>573</v>
      </c>
      <c r="D185" s="6" t="s">
        <v>574</v>
      </c>
      <c r="E185" s="6" t="s">
        <v>569</v>
      </c>
      <c r="F185" s="7" t="s">
        <v>616</v>
      </c>
      <c r="G185" s="7" t="s">
        <v>617</v>
      </c>
      <c r="H185" s="6" t="s">
        <v>618</v>
      </c>
      <c r="I185" s="6"/>
      <c r="J185" s="6"/>
      <c r="K185" s="6" t="s">
        <v>130</v>
      </c>
      <c r="L185" s="6" t="s">
        <v>22</v>
      </c>
      <c r="M185" s="6" t="s">
        <v>135</v>
      </c>
      <c r="N185" s="6" t="s">
        <v>619</v>
      </c>
      <c r="O185" s="17"/>
    </row>
    <row r="186" ht="15.75" hidden="1" customHeight="1">
      <c r="A186" s="5">
        <v>662.0</v>
      </c>
      <c r="B186" s="5">
        <v>13.0</v>
      </c>
      <c r="C186" s="6" t="s">
        <v>573</v>
      </c>
      <c r="D186" s="6" t="s">
        <v>574</v>
      </c>
      <c r="E186" s="6" t="s">
        <v>17</v>
      </c>
      <c r="F186" s="7" t="s">
        <v>620</v>
      </c>
      <c r="G186" s="7" t="s">
        <v>621</v>
      </c>
      <c r="H186" s="6" t="s">
        <v>133</v>
      </c>
      <c r="I186" s="6"/>
      <c r="J186" s="6"/>
      <c r="K186" s="6" t="s">
        <v>112</v>
      </c>
      <c r="L186" s="10" t="s">
        <v>622</v>
      </c>
      <c r="M186" s="6"/>
      <c r="N186" s="6"/>
      <c r="O186" s="17">
        <v>2.0</v>
      </c>
    </row>
    <row r="187" ht="15.75" hidden="1" customHeight="1">
      <c r="A187" s="5">
        <v>601.0</v>
      </c>
      <c r="B187" s="5">
        <v>9.0</v>
      </c>
      <c r="C187" s="6" t="s">
        <v>598</v>
      </c>
      <c r="D187" s="6" t="s">
        <v>599</v>
      </c>
      <c r="E187" s="6" t="s">
        <v>17</v>
      </c>
      <c r="F187" s="7" t="s">
        <v>623</v>
      </c>
      <c r="G187" s="7" t="s">
        <v>623</v>
      </c>
      <c r="H187" s="6" t="s">
        <v>122</v>
      </c>
      <c r="I187" s="6"/>
      <c r="J187" s="6"/>
      <c r="K187" s="6" t="s">
        <v>81</v>
      </c>
      <c r="L187" s="6" t="s">
        <v>145</v>
      </c>
      <c r="M187" s="6"/>
      <c r="N187" s="6"/>
      <c r="O187" s="4">
        <v>2.0</v>
      </c>
    </row>
    <row r="188" ht="15.75" hidden="1" customHeight="1">
      <c r="A188" s="5">
        <v>654.0</v>
      </c>
      <c r="B188" s="5">
        <v>13.0</v>
      </c>
      <c r="C188" s="6" t="s">
        <v>573</v>
      </c>
      <c r="D188" s="6" t="s">
        <v>574</v>
      </c>
      <c r="E188" s="6" t="s">
        <v>17</v>
      </c>
      <c r="F188" s="7" t="s">
        <v>624</v>
      </c>
      <c r="G188" s="7" t="s">
        <v>625</v>
      </c>
      <c r="H188" s="6" t="s">
        <v>577</v>
      </c>
      <c r="I188" s="6"/>
      <c r="J188" s="6"/>
      <c r="K188" s="6" t="s">
        <v>112</v>
      </c>
      <c r="L188" s="10" t="s">
        <v>626</v>
      </c>
      <c r="M188" s="6"/>
      <c r="N188" s="6"/>
      <c r="O188" s="17">
        <v>0.0</v>
      </c>
    </row>
    <row r="189" ht="15.75" hidden="1" customHeight="1">
      <c r="A189" s="5">
        <v>704.0</v>
      </c>
      <c r="B189" s="5">
        <v>14.0</v>
      </c>
      <c r="C189" s="6" t="s">
        <v>579</v>
      </c>
      <c r="D189" s="6" t="s">
        <v>580</v>
      </c>
      <c r="E189" s="6" t="s">
        <v>17</v>
      </c>
      <c r="F189" s="7" t="s">
        <v>627</v>
      </c>
      <c r="G189" s="7" t="s">
        <v>627</v>
      </c>
      <c r="H189" s="6" t="s">
        <v>96</v>
      </c>
      <c r="I189" s="6"/>
      <c r="J189" s="6"/>
      <c r="K189" s="6" t="s">
        <v>112</v>
      </c>
      <c r="L189" s="6" t="s">
        <v>628</v>
      </c>
      <c r="M189" s="6"/>
      <c r="N189" s="6"/>
      <c r="O189" s="17">
        <v>0.0</v>
      </c>
    </row>
    <row r="190" ht="15.75" hidden="1" customHeight="1">
      <c r="A190" s="5">
        <v>705.0</v>
      </c>
      <c r="B190" s="5">
        <v>14.0</v>
      </c>
      <c r="C190" s="6" t="s">
        <v>579</v>
      </c>
      <c r="D190" s="6" t="s">
        <v>580</v>
      </c>
      <c r="E190" s="6" t="s">
        <v>17</v>
      </c>
      <c r="F190" s="7" t="s">
        <v>629</v>
      </c>
      <c r="G190" s="7" t="s">
        <v>629</v>
      </c>
      <c r="H190" s="6" t="s">
        <v>96</v>
      </c>
      <c r="I190" s="6"/>
      <c r="J190" s="6"/>
      <c r="K190" s="6" t="s">
        <v>112</v>
      </c>
      <c r="L190" s="6" t="s">
        <v>628</v>
      </c>
      <c r="M190" s="6"/>
      <c r="N190" s="6"/>
      <c r="O190" s="17">
        <v>0.0</v>
      </c>
    </row>
    <row r="191" ht="15.75" hidden="1" customHeight="1">
      <c r="A191" s="5">
        <v>508.0</v>
      </c>
      <c r="B191" s="5">
        <v>7.0</v>
      </c>
      <c r="C191" s="6" t="s">
        <v>538</v>
      </c>
      <c r="D191" s="6" t="s">
        <v>539</v>
      </c>
      <c r="E191" s="6" t="s">
        <v>17</v>
      </c>
      <c r="F191" s="7" t="s">
        <v>630</v>
      </c>
      <c r="G191" s="7" t="s">
        <v>630</v>
      </c>
      <c r="H191" s="6" t="s">
        <v>110</v>
      </c>
      <c r="I191" s="8" t="s">
        <v>631</v>
      </c>
      <c r="J191" s="6" t="s">
        <v>631</v>
      </c>
      <c r="K191" s="6" t="s">
        <v>21</v>
      </c>
      <c r="L191" s="6" t="s">
        <v>53</v>
      </c>
      <c r="M191" s="6" t="s">
        <v>459</v>
      </c>
      <c r="N191" s="6"/>
      <c r="O191" s="17"/>
    </row>
    <row r="192" ht="15.75" hidden="1" customHeight="1">
      <c r="A192" s="5">
        <v>501.0</v>
      </c>
      <c r="B192" s="5">
        <v>7.0</v>
      </c>
      <c r="C192" s="6" t="s">
        <v>538</v>
      </c>
      <c r="D192" s="6" t="s">
        <v>539</v>
      </c>
      <c r="E192" s="6" t="s">
        <v>17</v>
      </c>
      <c r="F192" s="7" t="s">
        <v>632</v>
      </c>
      <c r="G192" s="7" t="s">
        <v>632</v>
      </c>
      <c r="H192" s="6" t="s">
        <v>110</v>
      </c>
      <c r="I192" s="8" t="s">
        <v>307</v>
      </c>
      <c r="J192" s="6" t="s">
        <v>307</v>
      </c>
      <c r="K192" s="6" t="s">
        <v>313</v>
      </c>
      <c r="L192" s="6" t="s">
        <v>633</v>
      </c>
      <c r="M192" s="6" t="s">
        <v>113</v>
      </c>
      <c r="N192" s="6"/>
      <c r="O192" s="17"/>
    </row>
    <row r="193" ht="15.75" hidden="1" customHeight="1">
      <c r="A193" s="5">
        <v>294.0</v>
      </c>
      <c r="B193" s="5">
        <v>11.0</v>
      </c>
      <c r="C193" s="6" t="s">
        <v>609</v>
      </c>
      <c r="D193" s="6" t="s">
        <v>610</v>
      </c>
      <c r="E193" s="6" t="s">
        <v>17</v>
      </c>
      <c r="F193" s="7" t="s">
        <v>634</v>
      </c>
      <c r="G193" s="7" t="s">
        <v>634</v>
      </c>
      <c r="H193" s="6" t="s">
        <v>152</v>
      </c>
      <c r="I193" s="6"/>
      <c r="J193" s="6"/>
      <c r="K193" s="6" t="s">
        <v>130</v>
      </c>
      <c r="L193" s="6" t="s">
        <v>21</v>
      </c>
      <c r="M193" s="6" t="s">
        <v>149</v>
      </c>
      <c r="N193" s="6" t="s">
        <v>44</v>
      </c>
      <c r="O193" s="17">
        <v>0.0</v>
      </c>
    </row>
    <row r="194" ht="15.75" hidden="1" customHeight="1">
      <c r="A194" s="5">
        <v>142.0</v>
      </c>
      <c r="B194" s="5">
        <v>3.0</v>
      </c>
      <c r="C194" s="6" t="s">
        <v>603</v>
      </c>
      <c r="D194" s="6" t="s">
        <v>604</v>
      </c>
      <c r="E194" s="6" t="s">
        <v>17</v>
      </c>
      <c r="F194" s="7" t="s">
        <v>635</v>
      </c>
      <c r="G194" s="7" t="s">
        <v>636</v>
      </c>
      <c r="H194" s="6" t="s">
        <v>110</v>
      </c>
      <c r="I194" s="6"/>
      <c r="J194" s="6"/>
      <c r="K194" s="6" t="s">
        <v>130</v>
      </c>
      <c r="L194" s="6" t="s">
        <v>157</v>
      </c>
      <c r="M194" s="6" t="s">
        <v>637</v>
      </c>
      <c r="N194" s="6"/>
      <c r="O194" s="17">
        <v>0.0</v>
      </c>
    </row>
    <row r="195" ht="15.75" hidden="1" customHeight="1">
      <c r="A195" s="5">
        <v>332.0</v>
      </c>
      <c r="B195" s="5">
        <v>11.0</v>
      </c>
      <c r="C195" s="6" t="s">
        <v>609</v>
      </c>
      <c r="D195" s="6" t="s">
        <v>610</v>
      </c>
      <c r="E195" s="6" t="s">
        <v>17</v>
      </c>
      <c r="F195" s="7" t="s">
        <v>638</v>
      </c>
      <c r="G195" s="7" t="s">
        <v>638</v>
      </c>
      <c r="H195" s="6" t="s">
        <v>133</v>
      </c>
      <c r="I195" s="6"/>
      <c r="J195" s="6"/>
      <c r="K195" s="6" t="s">
        <v>112</v>
      </c>
      <c r="L195" s="10" t="s">
        <v>639</v>
      </c>
      <c r="M195" s="6"/>
      <c r="N195" s="6"/>
      <c r="O195" s="17">
        <v>0.0</v>
      </c>
    </row>
    <row r="196" ht="15.75" hidden="1" customHeight="1">
      <c r="A196" s="19">
        <v>331.0</v>
      </c>
      <c r="B196" s="19">
        <v>11.0</v>
      </c>
      <c r="C196" s="20" t="s">
        <v>609</v>
      </c>
      <c r="D196" s="20" t="s">
        <v>610</v>
      </c>
      <c r="E196" s="20" t="s">
        <v>17</v>
      </c>
      <c r="F196" s="21" t="s">
        <v>640</v>
      </c>
      <c r="G196" s="21" t="s">
        <v>640</v>
      </c>
      <c r="H196" s="20" t="s">
        <v>133</v>
      </c>
      <c r="I196" s="6"/>
      <c r="J196" s="6"/>
      <c r="K196" s="6" t="s">
        <v>130</v>
      </c>
      <c r="L196" s="24" t="s">
        <v>639</v>
      </c>
      <c r="M196" s="20"/>
      <c r="N196" s="20"/>
      <c r="O196" s="17">
        <v>2.0</v>
      </c>
    </row>
    <row r="197" ht="15.75" hidden="1" customHeight="1">
      <c r="A197" s="5">
        <v>318.0</v>
      </c>
      <c r="B197" s="5">
        <v>11.0</v>
      </c>
      <c r="C197" s="6" t="s">
        <v>609</v>
      </c>
      <c r="D197" s="6" t="s">
        <v>610</v>
      </c>
      <c r="E197" s="6" t="s">
        <v>17</v>
      </c>
      <c r="F197" s="7" t="s">
        <v>641</v>
      </c>
      <c r="G197" s="7" t="s">
        <v>641</v>
      </c>
      <c r="H197" s="6" t="s">
        <v>642</v>
      </c>
      <c r="I197" s="6"/>
      <c r="J197" s="6"/>
      <c r="K197" s="6" t="s">
        <v>112</v>
      </c>
      <c r="L197" s="10" t="s">
        <v>643</v>
      </c>
      <c r="M197" s="6" t="s">
        <v>644</v>
      </c>
      <c r="N197" s="6"/>
      <c r="O197" s="17">
        <v>2.0</v>
      </c>
    </row>
    <row r="198" ht="15.75" hidden="1" customHeight="1">
      <c r="A198" s="5">
        <v>671.0</v>
      </c>
      <c r="B198" s="5">
        <v>13.0</v>
      </c>
      <c r="C198" s="6" t="s">
        <v>573</v>
      </c>
      <c r="D198" s="6" t="s">
        <v>574</v>
      </c>
      <c r="E198" s="6" t="s">
        <v>17</v>
      </c>
      <c r="F198" s="7" t="s">
        <v>624</v>
      </c>
      <c r="G198" s="7" t="s">
        <v>645</v>
      </c>
      <c r="H198" s="6" t="s">
        <v>172</v>
      </c>
      <c r="I198" s="6"/>
      <c r="J198" s="6"/>
      <c r="K198" s="6" t="s">
        <v>646</v>
      </c>
      <c r="L198" s="10" t="s">
        <v>647</v>
      </c>
      <c r="M198" s="6"/>
      <c r="N198" s="6"/>
      <c r="O198" s="17">
        <v>0.0</v>
      </c>
    </row>
    <row r="199" ht="15.75" hidden="1" customHeight="1">
      <c r="A199" s="5">
        <v>313.0</v>
      </c>
      <c r="B199" s="5">
        <v>11.0</v>
      </c>
      <c r="C199" s="6" t="s">
        <v>609</v>
      </c>
      <c r="D199" s="6" t="s">
        <v>610</v>
      </c>
      <c r="E199" s="6" t="s">
        <v>17</v>
      </c>
      <c r="F199" s="7" t="s">
        <v>648</v>
      </c>
      <c r="G199" s="7" t="s">
        <v>648</v>
      </c>
      <c r="H199" s="6" t="s">
        <v>642</v>
      </c>
      <c r="I199" s="6"/>
      <c r="J199" s="6"/>
      <c r="K199" s="6" t="s">
        <v>112</v>
      </c>
      <c r="L199" s="10" t="s">
        <v>644</v>
      </c>
      <c r="M199" s="6"/>
      <c r="N199" s="6"/>
      <c r="O199" s="17">
        <v>0.0</v>
      </c>
    </row>
    <row r="200" ht="15.75" hidden="1" customHeight="1">
      <c r="A200" s="5">
        <v>314.0</v>
      </c>
      <c r="B200" s="5">
        <v>11.0</v>
      </c>
      <c r="C200" s="6" t="s">
        <v>609</v>
      </c>
      <c r="D200" s="6" t="s">
        <v>610</v>
      </c>
      <c r="E200" s="6" t="s">
        <v>17</v>
      </c>
      <c r="F200" s="7" t="s">
        <v>649</v>
      </c>
      <c r="G200" s="7" t="s">
        <v>649</v>
      </c>
      <c r="H200" s="6" t="s">
        <v>642</v>
      </c>
      <c r="I200" s="6"/>
      <c r="J200" s="6"/>
      <c r="K200" s="6" t="s">
        <v>112</v>
      </c>
      <c r="L200" s="10" t="s">
        <v>644</v>
      </c>
      <c r="M200" s="6"/>
      <c r="N200" s="6"/>
      <c r="O200" s="17">
        <v>0.0</v>
      </c>
    </row>
    <row r="201" ht="15.75" hidden="1" customHeight="1">
      <c r="A201" s="5">
        <v>311.0</v>
      </c>
      <c r="B201" s="5">
        <v>11.0</v>
      </c>
      <c r="C201" s="6" t="s">
        <v>609</v>
      </c>
      <c r="D201" s="6" t="s">
        <v>610</v>
      </c>
      <c r="E201" s="6" t="s">
        <v>17</v>
      </c>
      <c r="F201" s="7" t="s">
        <v>650</v>
      </c>
      <c r="G201" s="7" t="s">
        <v>650</v>
      </c>
      <c r="H201" s="6" t="s">
        <v>642</v>
      </c>
      <c r="I201" s="6"/>
      <c r="J201" s="6"/>
      <c r="K201" s="6" t="s">
        <v>26</v>
      </c>
      <c r="L201" s="10" t="s">
        <v>644</v>
      </c>
      <c r="M201" s="6"/>
      <c r="N201" s="6"/>
      <c r="O201" s="17">
        <v>0.0</v>
      </c>
    </row>
    <row r="202" ht="15.75" hidden="1" customHeight="1">
      <c r="A202" s="5">
        <v>677.0</v>
      </c>
      <c r="B202" s="5">
        <v>13.0</v>
      </c>
      <c r="C202" s="6" t="s">
        <v>573</v>
      </c>
      <c r="D202" s="6" t="s">
        <v>574</v>
      </c>
      <c r="E202" s="6" t="s">
        <v>17</v>
      </c>
      <c r="F202" s="7" t="s">
        <v>651</v>
      </c>
      <c r="G202" s="7" t="s">
        <v>652</v>
      </c>
      <c r="H202" s="6" t="s">
        <v>577</v>
      </c>
      <c r="I202" s="6"/>
      <c r="J202" s="6"/>
      <c r="K202" s="6" t="s">
        <v>646</v>
      </c>
      <c r="L202" s="10" t="s">
        <v>653</v>
      </c>
      <c r="M202" s="6"/>
      <c r="N202" s="6"/>
      <c r="O202" s="17">
        <v>0.0</v>
      </c>
    </row>
    <row r="203" ht="15.75" hidden="1" customHeight="1">
      <c r="A203" s="5">
        <v>547.0</v>
      </c>
      <c r="B203" s="5">
        <v>7.0</v>
      </c>
      <c r="C203" s="6" t="s">
        <v>538</v>
      </c>
      <c r="D203" s="6" t="s">
        <v>539</v>
      </c>
      <c r="E203" s="6" t="s">
        <v>17</v>
      </c>
      <c r="F203" s="7" t="s">
        <v>654</v>
      </c>
      <c r="G203" s="7" t="s">
        <v>655</v>
      </c>
      <c r="H203" s="6" t="s">
        <v>96</v>
      </c>
      <c r="I203" s="8" t="s">
        <v>373</v>
      </c>
      <c r="J203" s="6" t="s">
        <v>373</v>
      </c>
      <c r="K203" s="6" t="s">
        <v>313</v>
      </c>
      <c r="L203" s="6" t="s">
        <v>656</v>
      </c>
      <c r="M203" s="6"/>
      <c r="N203" s="6"/>
      <c r="O203" s="17"/>
    </row>
    <row r="204" ht="15.75" hidden="1" customHeight="1">
      <c r="A204" s="5">
        <v>681.0</v>
      </c>
      <c r="B204" s="5">
        <v>13.0</v>
      </c>
      <c r="C204" s="6" t="s">
        <v>573</v>
      </c>
      <c r="D204" s="6" t="s">
        <v>574</v>
      </c>
      <c r="E204" s="6" t="s">
        <v>17</v>
      </c>
      <c r="F204" s="7" t="s">
        <v>657</v>
      </c>
      <c r="G204" s="7" t="s">
        <v>658</v>
      </c>
      <c r="H204" s="6" t="s">
        <v>577</v>
      </c>
      <c r="I204" s="6"/>
      <c r="J204" s="6"/>
      <c r="K204" s="6" t="s">
        <v>646</v>
      </c>
      <c r="L204" s="10" t="s">
        <v>659</v>
      </c>
      <c r="M204" s="6"/>
      <c r="N204" s="6"/>
      <c r="O204" s="17">
        <v>0.0</v>
      </c>
    </row>
    <row r="205" ht="15.75" hidden="1" customHeight="1">
      <c r="A205" s="5">
        <v>675.0</v>
      </c>
      <c r="B205" s="5">
        <v>13.0</v>
      </c>
      <c r="C205" s="6" t="s">
        <v>573</v>
      </c>
      <c r="D205" s="6" t="s">
        <v>574</v>
      </c>
      <c r="E205" s="6" t="s">
        <v>17</v>
      </c>
      <c r="F205" s="7" t="s">
        <v>660</v>
      </c>
      <c r="G205" s="7" t="s">
        <v>661</v>
      </c>
      <c r="H205" s="6" t="s">
        <v>577</v>
      </c>
      <c r="I205" s="6"/>
      <c r="J205" s="6"/>
      <c r="K205" s="6" t="s">
        <v>112</v>
      </c>
      <c r="L205" s="10" t="s">
        <v>662</v>
      </c>
      <c r="M205" s="6"/>
      <c r="N205" s="6"/>
      <c r="O205" s="17">
        <v>0.0</v>
      </c>
    </row>
    <row r="206" ht="15.75" hidden="1" customHeight="1">
      <c r="A206" s="5">
        <v>680.0</v>
      </c>
      <c r="B206" s="5">
        <v>13.0</v>
      </c>
      <c r="C206" s="6" t="s">
        <v>573</v>
      </c>
      <c r="D206" s="6" t="s">
        <v>574</v>
      </c>
      <c r="E206" s="6" t="s">
        <v>17</v>
      </c>
      <c r="F206" s="7" t="s">
        <v>663</v>
      </c>
      <c r="G206" s="7" t="s">
        <v>664</v>
      </c>
      <c r="H206" s="6" t="s">
        <v>577</v>
      </c>
      <c r="I206" s="6"/>
      <c r="J206" s="6"/>
      <c r="K206" s="6" t="s">
        <v>646</v>
      </c>
      <c r="L206" s="10" t="s">
        <v>665</v>
      </c>
      <c r="M206" s="6"/>
      <c r="N206" s="6"/>
      <c r="O206" s="17">
        <v>0.0</v>
      </c>
    </row>
    <row r="207" ht="15.75" hidden="1" customHeight="1">
      <c r="A207" s="11">
        <v>478.0</v>
      </c>
      <c r="B207" s="11">
        <v>7.0</v>
      </c>
      <c r="C207" s="12" t="s">
        <v>538</v>
      </c>
      <c r="D207" s="12" t="s">
        <v>539</v>
      </c>
      <c r="E207" s="12" t="s">
        <v>17</v>
      </c>
      <c r="F207" s="13" t="s">
        <v>666</v>
      </c>
      <c r="G207" s="13" t="s">
        <v>666</v>
      </c>
      <c r="H207" s="12" t="s">
        <v>667</v>
      </c>
      <c r="I207" s="14"/>
      <c r="J207" s="9" t="s">
        <v>80</v>
      </c>
      <c r="K207" s="9" t="s">
        <v>308</v>
      </c>
      <c r="L207" s="15" t="s">
        <v>77</v>
      </c>
      <c r="O207" s="4"/>
    </row>
    <row r="208" ht="15.75" hidden="1" customHeight="1">
      <c r="A208" s="5">
        <v>660.0</v>
      </c>
      <c r="B208" s="5">
        <v>13.0</v>
      </c>
      <c r="C208" s="6" t="s">
        <v>573</v>
      </c>
      <c r="D208" s="6" t="s">
        <v>574</v>
      </c>
      <c r="E208" s="6" t="s">
        <v>17</v>
      </c>
      <c r="F208" s="7" t="s">
        <v>668</v>
      </c>
      <c r="G208" s="7" t="s">
        <v>669</v>
      </c>
      <c r="H208" s="6" t="s">
        <v>133</v>
      </c>
      <c r="I208" s="15"/>
      <c r="J208" s="9"/>
      <c r="L208" s="10" t="s">
        <v>670</v>
      </c>
      <c r="M208" s="6"/>
      <c r="N208" s="6"/>
      <c r="O208" s="17">
        <v>0.0</v>
      </c>
    </row>
    <row r="209" ht="15.75" hidden="1" customHeight="1">
      <c r="A209" s="5">
        <v>317.0</v>
      </c>
      <c r="B209" s="5">
        <v>11.0</v>
      </c>
      <c r="C209" s="6" t="s">
        <v>609</v>
      </c>
      <c r="D209" s="6" t="s">
        <v>610</v>
      </c>
      <c r="E209" s="6" t="s">
        <v>17</v>
      </c>
      <c r="F209" s="7" t="s">
        <v>671</v>
      </c>
      <c r="G209" s="7" t="s">
        <v>671</v>
      </c>
      <c r="H209" s="6" t="s">
        <v>642</v>
      </c>
      <c r="I209" s="6"/>
      <c r="J209" s="6"/>
      <c r="K209" s="6" t="s">
        <v>112</v>
      </c>
      <c r="L209" s="10" t="s">
        <v>672</v>
      </c>
      <c r="M209" s="6"/>
      <c r="N209" s="6"/>
      <c r="O209" s="17">
        <v>0.0</v>
      </c>
    </row>
    <row r="210" ht="15.75" hidden="1" customHeight="1">
      <c r="A210" s="5">
        <v>777.0</v>
      </c>
      <c r="B210" s="5">
        <v>14.0</v>
      </c>
      <c r="C210" s="6" t="s">
        <v>579</v>
      </c>
      <c r="D210" s="6" t="s">
        <v>580</v>
      </c>
      <c r="E210" s="6" t="s">
        <v>17</v>
      </c>
      <c r="F210" s="7" t="s">
        <v>673</v>
      </c>
      <c r="G210" s="7" t="s">
        <v>673</v>
      </c>
      <c r="H210" s="6" t="s">
        <v>110</v>
      </c>
      <c r="I210" s="6"/>
      <c r="J210" s="6"/>
      <c r="K210" s="6" t="s">
        <v>112</v>
      </c>
      <c r="L210" s="6" t="s">
        <v>674</v>
      </c>
      <c r="M210" s="6" t="s">
        <v>675</v>
      </c>
      <c r="N210" s="6" t="s">
        <v>44</v>
      </c>
      <c r="O210" s="17">
        <v>2.0</v>
      </c>
    </row>
    <row r="211" ht="15.75" hidden="1" customHeight="1">
      <c r="A211" s="5">
        <v>774.0</v>
      </c>
      <c r="B211" s="5">
        <v>14.0</v>
      </c>
      <c r="C211" s="6" t="s">
        <v>579</v>
      </c>
      <c r="D211" s="6" t="s">
        <v>580</v>
      </c>
      <c r="E211" s="6" t="s">
        <v>17</v>
      </c>
      <c r="F211" s="7" t="s">
        <v>676</v>
      </c>
      <c r="G211" s="7" t="s">
        <v>676</v>
      </c>
      <c r="H211" s="6" t="s">
        <v>110</v>
      </c>
      <c r="I211" s="6"/>
      <c r="J211" s="6"/>
      <c r="K211" s="6" t="s">
        <v>112</v>
      </c>
      <c r="L211" s="6" t="s">
        <v>674</v>
      </c>
      <c r="M211" s="6" t="s">
        <v>675</v>
      </c>
      <c r="N211" s="6" t="s">
        <v>264</v>
      </c>
      <c r="O211" s="17">
        <v>0.0</v>
      </c>
    </row>
    <row r="212" ht="15.75" hidden="1" customHeight="1">
      <c r="A212" s="5">
        <v>740.0</v>
      </c>
      <c r="B212" s="5">
        <v>14.0</v>
      </c>
      <c r="C212" s="6" t="s">
        <v>579</v>
      </c>
      <c r="D212" s="6" t="s">
        <v>580</v>
      </c>
      <c r="E212" s="6" t="s">
        <v>17</v>
      </c>
      <c r="F212" s="7" t="s">
        <v>677</v>
      </c>
      <c r="G212" s="7" t="s">
        <v>677</v>
      </c>
      <c r="H212" s="6" t="s">
        <v>509</v>
      </c>
      <c r="I212" s="6"/>
      <c r="J212" s="6"/>
      <c r="K212" s="6" t="s">
        <v>112</v>
      </c>
      <c r="L212" s="6" t="s">
        <v>21</v>
      </c>
      <c r="M212" s="6" t="s">
        <v>678</v>
      </c>
      <c r="N212" s="6" t="s">
        <v>679</v>
      </c>
      <c r="O212" s="17">
        <v>0.0</v>
      </c>
    </row>
    <row r="213" ht="15.75" hidden="1" customHeight="1">
      <c r="A213" s="5">
        <v>521.0</v>
      </c>
      <c r="B213" s="5">
        <v>7.0</v>
      </c>
      <c r="C213" s="6" t="s">
        <v>538</v>
      </c>
      <c r="D213" s="6" t="s">
        <v>539</v>
      </c>
      <c r="E213" s="6" t="s">
        <v>17</v>
      </c>
      <c r="F213" s="7" t="s">
        <v>680</v>
      </c>
      <c r="G213" s="7" t="s">
        <v>681</v>
      </c>
      <c r="H213" s="6" t="s">
        <v>110</v>
      </c>
      <c r="I213" s="8" t="s">
        <v>319</v>
      </c>
      <c r="J213" s="6" t="s">
        <v>319</v>
      </c>
      <c r="K213" s="6" t="s">
        <v>308</v>
      </c>
      <c r="L213" s="9" t="s">
        <v>73</v>
      </c>
      <c r="M213" s="6" t="s">
        <v>682</v>
      </c>
      <c r="N213" s="6"/>
      <c r="O213" s="17"/>
    </row>
    <row r="214" ht="15.75" hidden="1" customHeight="1">
      <c r="A214" s="19">
        <v>548.0</v>
      </c>
      <c r="B214" s="19">
        <v>7.0</v>
      </c>
      <c r="C214" s="20" t="s">
        <v>538</v>
      </c>
      <c r="D214" s="20" t="s">
        <v>539</v>
      </c>
      <c r="E214" s="20" t="s">
        <v>17</v>
      </c>
      <c r="F214" s="21" t="s">
        <v>683</v>
      </c>
      <c r="G214" s="21" t="s">
        <v>684</v>
      </c>
      <c r="H214" s="20" t="s">
        <v>96</v>
      </c>
      <c r="I214" s="8" t="s">
        <v>685</v>
      </c>
      <c r="J214" s="6" t="s">
        <v>178</v>
      </c>
      <c r="K214" s="6" t="s">
        <v>313</v>
      </c>
      <c r="L214" s="20" t="s">
        <v>656</v>
      </c>
      <c r="M214" s="20"/>
      <c r="N214" s="20"/>
      <c r="O214" s="17"/>
      <c r="P214" s="23"/>
      <c r="Q214" s="23"/>
      <c r="R214" s="23"/>
      <c r="S214" s="23"/>
      <c r="T214" s="23"/>
      <c r="U214" s="23"/>
      <c r="V214" s="23"/>
      <c r="W214" s="23"/>
      <c r="X214" s="23"/>
      <c r="Y214" s="23"/>
      <c r="Z214" s="23"/>
    </row>
    <row r="215" ht="15.75" hidden="1" customHeight="1">
      <c r="A215" s="5">
        <v>74.0</v>
      </c>
      <c r="B215" s="5">
        <v>9.0</v>
      </c>
      <c r="C215" s="6" t="s">
        <v>598</v>
      </c>
      <c r="D215" s="6" t="s">
        <v>599</v>
      </c>
      <c r="E215" s="6" t="s">
        <v>17</v>
      </c>
      <c r="F215" s="7" t="s">
        <v>686</v>
      </c>
      <c r="G215" s="7" t="s">
        <v>686</v>
      </c>
      <c r="H215" s="6" t="s">
        <v>526</v>
      </c>
      <c r="I215" s="6"/>
      <c r="J215" s="6"/>
      <c r="K215" s="6" t="s">
        <v>112</v>
      </c>
      <c r="L215" s="6" t="s">
        <v>687</v>
      </c>
      <c r="M215" s="6"/>
      <c r="N215" s="6"/>
      <c r="O215" s="4">
        <v>0.0</v>
      </c>
    </row>
    <row r="216" ht="15.75" hidden="1" customHeight="1">
      <c r="A216" s="5">
        <v>152.0</v>
      </c>
      <c r="B216" s="5">
        <v>3.0</v>
      </c>
      <c r="C216" s="6" t="s">
        <v>603</v>
      </c>
      <c r="D216" s="6" t="s">
        <v>604</v>
      </c>
      <c r="E216" s="6" t="s">
        <v>17</v>
      </c>
      <c r="F216" s="7" t="s">
        <v>688</v>
      </c>
      <c r="G216" s="7" t="s">
        <v>689</v>
      </c>
      <c r="H216" s="6" t="s">
        <v>642</v>
      </c>
      <c r="I216" s="6"/>
      <c r="J216" s="6"/>
      <c r="K216" s="6" t="s">
        <v>130</v>
      </c>
      <c r="L216" s="10" t="s">
        <v>690</v>
      </c>
      <c r="M216" s="6" t="s">
        <v>691</v>
      </c>
      <c r="N216" s="6" t="s">
        <v>692</v>
      </c>
      <c r="O216" s="17">
        <v>0.0</v>
      </c>
    </row>
    <row r="217" ht="15.75" hidden="1" customHeight="1">
      <c r="A217" s="5">
        <v>137.0</v>
      </c>
      <c r="B217" s="5">
        <v>3.0</v>
      </c>
      <c r="C217" s="6" t="s">
        <v>603</v>
      </c>
      <c r="D217" s="6" t="s">
        <v>604</v>
      </c>
      <c r="E217" s="6" t="s">
        <v>569</v>
      </c>
      <c r="F217" s="7" t="s">
        <v>693</v>
      </c>
      <c r="G217" s="7" t="s">
        <v>694</v>
      </c>
      <c r="H217" s="6" t="s">
        <v>110</v>
      </c>
      <c r="I217" s="6"/>
      <c r="J217" s="6"/>
      <c r="K217" s="6" t="s">
        <v>112</v>
      </c>
      <c r="L217" s="6" t="s">
        <v>149</v>
      </c>
      <c r="M217" s="6" t="s">
        <v>695</v>
      </c>
      <c r="N217" s="6" t="s">
        <v>21</v>
      </c>
      <c r="O217" s="17"/>
    </row>
    <row r="218" ht="15.75" hidden="1" customHeight="1">
      <c r="A218" s="5">
        <v>138.0</v>
      </c>
      <c r="B218" s="5">
        <v>3.0</v>
      </c>
      <c r="C218" s="6" t="s">
        <v>603</v>
      </c>
      <c r="D218" s="6" t="s">
        <v>604</v>
      </c>
      <c r="E218" s="6" t="s">
        <v>569</v>
      </c>
      <c r="F218" s="7" t="s">
        <v>693</v>
      </c>
      <c r="G218" s="7" t="s">
        <v>694</v>
      </c>
      <c r="H218" s="6" t="s">
        <v>110</v>
      </c>
      <c r="I218" s="6"/>
      <c r="J218" s="6"/>
      <c r="K218" s="6" t="s">
        <v>112</v>
      </c>
      <c r="L218" s="6" t="s">
        <v>149</v>
      </c>
      <c r="M218" s="6" t="s">
        <v>695</v>
      </c>
      <c r="N218" s="6" t="s">
        <v>21</v>
      </c>
      <c r="O218" s="17"/>
    </row>
    <row r="219" ht="15.75" hidden="1" customHeight="1">
      <c r="A219" s="5">
        <v>140.0</v>
      </c>
      <c r="B219" s="5">
        <v>3.0</v>
      </c>
      <c r="C219" s="6" t="s">
        <v>603</v>
      </c>
      <c r="D219" s="6" t="s">
        <v>604</v>
      </c>
      <c r="E219" s="6" t="s">
        <v>569</v>
      </c>
      <c r="F219" s="7" t="s">
        <v>693</v>
      </c>
      <c r="G219" s="7" t="s">
        <v>694</v>
      </c>
      <c r="H219" s="6" t="s">
        <v>110</v>
      </c>
      <c r="I219" s="6"/>
      <c r="J219" s="6"/>
      <c r="K219" s="6" t="s">
        <v>112</v>
      </c>
      <c r="L219" s="6" t="s">
        <v>149</v>
      </c>
      <c r="M219" s="6" t="s">
        <v>695</v>
      </c>
      <c r="N219" s="6" t="s">
        <v>21</v>
      </c>
      <c r="O219" s="17"/>
    </row>
    <row r="220" ht="15.75" hidden="1" customHeight="1">
      <c r="A220" s="5">
        <v>581.0</v>
      </c>
      <c r="B220" s="5">
        <v>8.0</v>
      </c>
      <c r="C220" s="6" t="s">
        <v>696</v>
      </c>
      <c r="D220" s="6" t="s">
        <v>697</v>
      </c>
      <c r="E220" s="6" t="s">
        <v>569</v>
      </c>
      <c r="F220" s="7" t="s">
        <v>698</v>
      </c>
      <c r="G220" s="7" t="s">
        <v>698</v>
      </c>
      <c r="H220" s="6" t="s">
        <v>110</v>
      </c>
      <c r="I220" s="6"/>
      <c r="J220" s="6"/>
      <c r="K220" s="6" t="s">
        <v>112</v>
      </c>
      <c r="L220" s="6" t="s">
        <v>149</v>
      </c>
      <c r="M220" s="6" t="s">
        <v>695</v>
      </c>
      <c r="N220" s="6" t="s">
        <v>21</v>
      </c>
      <c r="O220" s="17"/>
    </row>
    <row r="221" ht="15.75" hidden="1" customHeight="1">
      <c r="A221" s="5">
        <v>69.0</v>
      </c>
      <c r="B221" s="5">
        <v>9.0</v>
      </c>
      <c r="C221" s="6" t="s">
        <v>598</v>
      </c>
      <c r="D221" s="6" t="s">
        <v>599</v>
      </c>
      <c r="E221" s="6" t="s">
        <v>17</v>
      </c>
      <c r="F221" s="7" t="s">
        <v>699</v>
      </c>
      <c r="G221" s="7" t="s">
        <v>699</v>
      </c>
      <c r="H221" s="6" t="s">
        <v>526</v>
      </c>
      <c r="I221" s="6"/>
      <c r="J221" s="6"/>
      <c r="K221" s="6" t="s">
        <v>112</v>
      </c>
      <c r="L221" s="6" t="s">
        <v>700</v>
      </c>
      <c r="M221" s="6"/>
      <c r="N221" s="6"/>
      <c r="O221" s="4">
        <v>0.0</v>
      </c>
    </row>
    <row r="222" ht="15.75" hidden="1" customHeight="1">
      <c r="A222" s="5">
        <v>113.0</v>
      </c>
      <c r="B222" s="5">
        <v>2.0</v>
      </c>
      <c r="C222" s="6" t="s">
        <v>124</v>
      </c>
      <c r="D222" s="6" t="s">
        <v>125</v>
      </c>
      <c r="E222" s="6" t="s">
        <v>569</v>
      </c>
      <c r="F222" s="7" t="s">
        <v>570</v>
      </c>
      <c r="G222" s="7" t="s">
        <v>701</v>
      </c>
      <c r="H222" s="6" t="s">
        <v>110</v>
      </c>
      <c r="I222" s="6"/>
      <c r="J222" s="6"/>
      <c r="K222" s="6" t="s">
        <v>112</v>
      </c>
      <c r="L222" s="6" t="s">
        <v>149</v>
      </c>
      <c r="M222" s="6" t="s">
        <v>695</v>
      </c>
      <c r="N222" s="6" t="s">
        <v>21</v>
      </c>
      <c r="O222" s="17"/>
    </row>
    <row r="223" ht="15.75" hidden="1" customHeight="1">
      <c r="A223" s="5">
        <v>564.0</v>
      </c>
      <c r="B223" s="5">
        <v>7.0</v>
      </c>
      <c r="C223" s="6" t="s">
        <v>538</v>
      </c>
      <c r="D223" s="6" t="s">
        <v>539</v>
      </c>
      <c r="E223" s="6" t="s">
        <v>569</v>
      </c>
      <c r="F223" s="7" t="s">
        <v>702</v>
      </c>
      <c r="G223" s="7" t="s">
        <v>703</v>
      </c>
      <c r="H223" s="6" t="s">
        <v>704</v>
      </c>
      <c r="I223" s="6"/>
      <c r="J223" s="6"/>
      <c r="K223" s="6" t="s">
        <v>130</v>
      </c>
      <c r="L223" s="6" t="s">
        <v>705</v>
      </c>
      <c r="M223" s="6" t="s">
        <v>135</v>
      </c>
      <c r="O223" s="4"/>
    </row>
    <row r="224" ht="15.75" hidden="1" customHeight="1">
      <c r="A224" s="5">
        <v>824.0</v>
      </c>
      <c r="B224" s="5">
        <v>14.0</v>
      </c>
      <c r="C224" s="6" t="s">
        <v>579</v>
      </c>
      <c r="D224" s="6" t="s">
        <v>580</v>
      </c>
      <c r="E224" s="6" t="s">
        <v>17</v>
      </c>
      <c r="F224" s="7" t="s">
        <v>706</v>
      </c>
      <c r="G224" s="7" t="s">
        <v>706</v>
      </c>
      <c r="H224" s="6" t="s">
        <v>86</v>
      </c>
      <c r="I224" s="6"/>
      <c r="J224" s="6"/>
      <c r="K224" s="6" t="s">
        <v>304</v>
      </c>
      <c r="L224" s="6" t="s">
        <v>707</v>
      </c>
      <c r="M224" s="6" t="s">
        <v>708</v>
      </c>
      <c r="N224" s="6"/>
      <c r="O224" s="17">
        <v>0.0</v>
      </c>
    </row>
    <row r="225" ht="15.75" hidden="1" customHeight="1">
      <c r="A225" s="5">
        <v>656.0</v>
      </c>
      <c r="B225" s="5">
        <v>13.0</v>
      </c>
      <c r="C225" s="6" t="s">
        <v>573</v>
      </c>
      <c r="D225" s="6" t="s">
        <v>574</v>
      </c>
      <c r="E225" s="6" t="s">
        <v>17</v>
      </c>
      <c r="F225" s="7" t="s">
        <v>709</v>
      </c>
      <c r="G225" s="7" t="s">
        <v>710</v>
      </c>
      <c r="H225" s="6" t="s">
        <v>577</v>
      </c>
      <c r="I225" s="6"/>
      <c r="J225" s="6"/>
      <c r="K225" s="6" t="s">
        <v>162</v>
      </c>
      <c r="L225" s="10" t="s">
        <v>711</v>
      </c>
      <c r="M225" s="6"/>
      <c r="N225" s="6"/>
      <c r="O225" s="17">
        <v>0.0</v>
      </c>
    </row>
    <row r="226" ht="15.75" hidden="1" customHeight="1">
      <c r="A226" s="5">
        <v>634.0</v>
      </c>
      <c r="B226" s="5">
        <v>6.0</v>
      </c>
      <c r="C226" s="6" t="s">
        <v>15</v>
      </c>
      <c r="D226" s="6" t="s">
        <v>16</v>
      </c>
      <c r="E226" s="6" t="s">
        <v>569</v>
      </c>
      <c r="F226" s="7" t="s">
        <v>712</v>
      </c>
      <c r="G226" s="7" t="s">
        <v>713</v>
      </c>
      <c r="H226" s="6" t="s">
        <v>714</v>
      </c>
      <c r="I226" s="6"/>
      <c r="J226" s="6"/>
      <c r="K226" s="6" t="s">
        <v>304</v>
      </c>
      <c r="L226" s="6" t="s">
        <v>715</v>
      </c>
      <c r="M226" s="6"/>
      <c r="N226" s="6"/>
      <c r="O226" s="17"/>
    </row>
    <row r="227" ht="15.75" hidden="1" customHeight="1">
      <c r="A227" s="5">
        <v>666.0</v>
      </c>
      <c r="B227" s="5">
        <v>13.0</v>
      </c>
      <c r="C227" s="6" t="s">
        <v>573</v>
      </c>
      <c r="D227" s="6" t="s">
        <v>574</v>
      </c>
      <c r="E227" s="6" t="s">
        <v>569</v>
      </c>
      <c r="F227" s="7" t="s">
        <v>595</v>
      </c>
      <c r="G227" s="7" t="s">
        <v>596</v>
      </c>
      <c r="H227" s="6" t="s">
        <v>172</v>
      </c>
      <c r="I227" s="6"/>
      <c r="J227" s="6"/>
      <c r="K227" s="6" t="s">
        <v>162</v>
      </c>
      <c r="L227" s="10" t="s">
        <v>716</v>
      </c>
      <c r="M227" s="6"/>
      <c r="N227" s="6"/>
      <c r="O227" s="17">
        <v>0.0</v>
      </c>
    </row>
    <row r="228" ht="15.75" hidden="1" customHeight="1">
      <c r="A228" s="5">
        <v>649.0</v>
      </c>
      <c r="B228" s="5">
        <v>13.0</v>
      </c>
      <c r="C228" s="6" t="s">
        <v>573</v>
      </c>
      <c r="D228" s="6" t="s">
        <v>574</v>
      </c>
      <c r="E228" s="6" t="s">
        <v>17</v>
      </c>
      <c r="F228" s="7" t="s">
        <v>717</v>
      </c>
      <c r="G228" s="7" t="s">
        <v>718</v>
      </c>
      <c r="H228" s="6" t="s">
        <v>618</v>
      </c>
      <c r="I228" s="6"/>
      <c r="J228" s="6"/>
      <c r="K228" s="6" t="s">
        <v>162</v>
      </c>
      <c r="L228" s="6" t="s">
        <v>719</v>
      </c>
      <c r="M228" s="6"/>
      <c r="N228" s="6"/>
      <c r="O228" s="17">
        <v>0.0</v>
      </c>
    </row>
    <row r="229" ht="15.75" hidden="1" customHeight="1">
      <c r="A229" s="5">
        <v>360.0</v>
      </c>
      <c r="B229" s="5">
        <v>5.0</v>
      </c>
      <c r="C229" s="6" t="s">
        <v>396</v>
      </c>
      <c r="D229" s="6" t="s">
        <v>397</v>
      </c>
      <c r="E229" s="6" t="s">
        <v>569</v>
      </c>
      <c r="F229" s="7" t="s">
        <v>720</v>
      </c>
      <c r="G229" s="7" t="s">
        <v>721</v>
      </c>
      <c r="H229" s="6" t="s">
        <v>110</v>
      </c>
      <c r="I229" s="6"/>
      <c r="J229" s="6"/>
      <c r="K229" s="6" t="s">
        <v>162</v>
      </c>
      <c r="L229" s="6" t="s">
        <v>203</v>
      </c>
      <c r="M229" s="6" t="s">
        <v>113</v>
      </c>
      <c r="N229" s="6"/>
      <c r="O229" s="17"/>
    </row>
    <row r="230" ht="15.75" hidden="1" customHeight="1">
      <c r="A230" s="5">
        <v>170.0</v>
      </c>
      <c r="B230" s="5">
        <v>4.0</v>
      </c>
      <c r="C230" s="6" t="s">
        <v>187</v>
      </c>
      <c r="D230" s="6" t="s">
        <v>188</v>
      </c>
      <c r="E230" s="6" t="s">
        <v>569</v>
      </c>
      <c r="F230" s="7" t="s">
        <v>58</v>
      </c>
      <c r="G230" s="7" t="s">
        <v>722</v>
      </c>
      <c r="H230" s="6" t="s">
        <v>110</v>
      </c>
      <c r="I230" s="6"/>
      <c r="J230" s="6"/>
      <c r="K230" s="6" t="s">
        <v>162</v>
      </c>
      <c r="L230" s="6" t="s">
        <v>203</v>
      </c>
      <c r="M230" s="6" t="s">
        <v>113</v>
      </c>
      <c r="N230" s="6"/>
      <c r="O230" s="17"/>
    </row>
    <row r="231" ht="15.75" hidden="1" customHeight="1">
      <c r="A231" s="5">
        <v>139.0</v>
      </c>
      <c r="B231" s="5">
        <v>3.0</v>
      </c>
      <c r="C231" s="6" t="s">
        <v>603</v>
      </c>
      <c r="D231" s="6" t="s">
        <v>604</v>
      </c>
      <c r="E231" s="6" t="s">
        <v>569</v>
      </c>
      <c r="F231" s="7" t="s">
        <v>570</v>
      </c>
      <c r="G231" s="7" t="s">
        <v>723</v>
      </c>
      <c r="H231" s="6" t="s">
        <v>110</v>
      </c>
      <c r="I231" s="6"/>
      <c r="J231" s="6"/>
      <c r="K231" s="6" t="s">
        <v>162</v>
      </c>
      <c r="L231" s="6" t="s">
        <v>724</v>
      </c>
      <c r="M231" s="6" t="s">
        <v>205</v>
      </c>
      <c r="N231" s="6"/>
      <c r="O231" s="17"/>
    </row>
    <row r="232" ht="15.75" hidden="1" customHeight="1">
      <c r="A232" s="5">
        <v>582.0</v>
      </c>
      <c r="B232" s="5">
        <v>8.0</v>
      </c>
      <c r="C232" s="6" t="s">
        <v>696</v>
      </c>
      <c r="D232" s="6" t="s">
        <v>697</v>
      </c>
      <c r="E232" s="6" t="s">
        <v>569</v>
      </c>
      <c r="F232" s="7" t="s">
        <v>723</v>
      </c>
      <c r="G232" s="7" t="s">
        <v>723</v>
      </c>
      <c r="H232" s="6" t="s">
        <v>110</v>
      </c>
      <c r="I232" s="6"/>
      <c r="J232" s="6"/>
      <c r="K232" s="6" t="s">
        <v>162</v>
      </c>
      <c r="L232" s="6" t="s">
        <v>724</v>
      </c>
      <c r="M232" s="6" t="s">
        <v>205</v>
      </c>
      <c r="N232" s="6"/>
      <c r="O232" s="17"/>
    </row>
    <row r="233" ht="15.75" hidden="1" customHeight="1">
      <c r="A233" s="5">
        <v>408.0</v>
      </c>
      <c r="B233" s="5">
        <v>5.0</v>
      </c>
      <c r="C233" s="6" t="s">
        <v>396</v>
      </c>
      <c r="D233" s="6" t="s">
        <v>397</v>
      </c>
      <c r="E233" s="6" t="s">
        <v>569</v>
      </c>
      <c r="F233" s="7" t="s">
        <v>725</v>
      </c>
      <c r="G233" s="7" t="s">
        <v>726</v>
      </c>
      <c r="H233" s="6" t="s">
        <v>86</v>
      </c>
      <c r="I233" s="9"/>
      <c r="J233" s="9"/>
      <c r="K233" s="9" t="s">
        <v>727</v>
      </c>
      <c r="L233" s="6" t="s">
        <v>728</v>
      </c>
      <c r="M233" s="6" t="s">
        <v>612</v>
      </c>
      <c r="N233" s="6"/>
      <c r="O233" s="17"/>
    </row>
    <row r="234" ht="15.75" hidden="1" customHeight="1">
      <c r="A234" s="5">
        <v>188.0</v>
      </c>
      <c r="B234" s="5">
        <v>4.0</v>
      </c>
      <c r="C234" s="6" t="s">
        <v>187</v>
      </c>
      <c r="D234" s="6" t="s">
        <v>188</v>
      </c>
      <c r="E234" s="6" t="s">
        <v>569</v>
      </c>
      <c r="F234" s="7" t="s">
        <v>729</v>
      </c>
      <c r="G234" s="7" t="s">
        <v>730</v>
      </c>
      <c r="H234" s="6" t="s">
        <v>86</v>
      </c>
      <c r="I234" s="9"/>
      <c r="J234" s="9"/>
      <c r="K234" s="9" t="s">
        <v>727</v>
      </c>
      <c r="L234" s="6" t="s">
        <v>728</v>
      </c>
      <c r="M234" s="6" t="s">
        <v>612</v>
      </c>
      <c r="N234" s="6"/>
      <c r="O234" s="17"/>
    </row>
    <row r="235" ht="15.75" hidden="1" customHeight="1">
      <c r="A235" s="5">
        <v>637.0</v>
      </c>
      <c r="B235" s="5">
        <v>6.0</v>
      </c>
      <c r="C235" s="6" t="s">
        <v>15</v>
      </c>
      <c r="D235" s="6" t="s">
        <v>16</v>
      </c>
      <c r="E235" s="6" t="s">
        <v>569</v>
      </c>
      <c r="F235" s="7" t="s">
        <v>731</v>
      </c>
      <c r="G235" s="7" t="s">
        <v>731</v>
      </c>
      <c r="H235" s="6" t="s">
        <v>714</v>
      </c>
      <c r="I235" s="9"/>
      <c r="J235" s="9"/>
      <c r="K235" s="9" t="s">
        <v>727</v>
      </c>
      <c r="L235" s="6" t="s">
        <v>728</v>
      </c>
      <c r="M235" s="6" t="s">
        <v>612</v>
      </c>
      <c r="N235" s="6"/>
      <c r="O235" s="17"/>
    </row>
    <row r="236" ht="15.75" hidden="1" customHeight="1">
      <c r="A236" s="5">
        <v>561.0</v>
      </c>
      <c r="B236" s="5">
        <v>7.0</v>
      </c>
      <c r="C236" s="6" t="s">
        <v>538</v>
      </c>
      <c r="D236" s="6" t="s">
        <v>539</v>
      </c>
      <c r="E236" s="6" t="s">
        <v>569</v>
      </c>
      <c r="F236" s="7" t="s">
        <v>732</v>
      </c>
      <c r="G236" s="7" t="s">
        <v>732</v>
      </c>
      <c r="H236" s="6" t="s">
        <v>704</v>
      </c>
      <c r="I236" s="6"/>
      <c r="J236" s="6"/>
      <c r="K236" s="6" t="s">
        <v>162</v>
      </c>
      <c r="L236" s="6" t="s">
        <v>733</v>
      </c>
      <c r="M236" s="6"/>
      <c r="N236" s="6"/>
      <c r="O236" s="4">
        <v>0.0</v>
      </c>
    </row>
    <row r="237" ht="15.75" hidden="1" customHeight="1">
      <c r="A237" s="5">
        <v>133.0</v>
      </c>
      <c r="B237" s="5">
        <v>3.0</v>
      </c>
      <c r="C237" s="6" t="s">
        <v>603</v>
      </c>
      <c r="D237" s="6" t="s">
        <v>604</v>
      </c>
      <c r="E237" s="6" t="s">
        <v>569</v>
      </c>
      <c r="F237" s="7" t="s">
        <v>734</v>
      </c>
      <c r="G237" s="7" t="s">
        <v>734</v>
      </c>
      <c r="H237" s="6" t="s">
        <v>110</v>
      </c>
      <c r="I237" s="6"/>
      <c r="J237" s="6"/>
      <c r="K237" s="6" t="s">
        <v>735</v>
      </c>
      <c r="L237" s="6" t="s">
        <v>735</v>
      </c>
      <c r="M237" s="6" t="s">
        <v>736</v>
      </c>
      <c r="N237" s="6" t="s">
        <v>708</v>
      </c>
      <c r="O237" s="17"/>
    </row>
    <row r="238" ht="15.75" hidden="1" customHeight="1">
      <c r="A238" s="5">
        <v>493.0</v>
      </c>
      <c r="B238" s="5">
        <v>7.0</v>
      </c>
      <c r="C238" s="6" t="s">
        <v>538</v>
      </c>
      <c r="D238" s="6" t="s">
        <v>539</v>
      </c>
      <c r="E238" s="6" t="s">
        <v>569</v>
      </c>
      <c r="F238" s="7" t="s">
        <v>737</v>
      </c>
      <c r="G238" s="7" t="s">
        <v>737</v>
      </c>
      <c r="H238" s="6" t="s">
        <v>110</v>
      </c>
      <c r="I238" s="6"/>
      <c r="J238" s="6"/>
      <c r="K238" s="6" t="s">
        <v>735</v>
      </c>
      <c r="L238" s="6" t="s">
        <v>728</v>
      </c>
      <c r="M238" s="6" t="s">
        <v>708</v>
      </c>
      <c r="O238" s="17"/>
    </row>
    <row r="239" ht="15.75" hidden="1" customHeight="1">
      <c r="A239" s="5">
        <v>661.0</v>
      </c>
      <c r="B239" s="5">
        <v>13.0</v>
      </c>
      <c r="C239" s="6" t="s">
        <v>573</v>
      </c>
      <c r="D239" s="6" t="s">
        <v>574</v>
      </c>
      <c r="E239" s="6" t="s">
        <v>17</v>
      </c>
      <c r="F239" s="7" t="s">
        <v>587</v>
      </c>
      <c r="G239" s="7" t="s">
        <v>738</v>
      </c>
      <c r="H239" s="6" t="s">
        <v>133</v>
      </c>
      <c r="I239" s="6"/>
      <c r="J239" s="6"/>
      <c r="K239" s="6" t="s">
        <v>285</v>
      </c>
      <c r="L239" s="10" t="s">
        <v>739</v>
      </c>
      <c r="M239" s="6" t="s">
        <v>740</v>
      </c>
      <c r="N239" s="6"/>
      <c r="O239" s="17">
        <v>0.0</v>
      </c>
    </row>
    <row r="240" ht="15.75" hidden="1" customHeight="1">
      <c r="A240" s="5">
        <v>400.0</v>
      </c>
      <c r="B240" s="5">
        <v>5.0</v>
      </c>
      <c r="C240" s="6" t="s">
        <v>396</v>
      </c>
      <c r="D240" s="6" t="s">
        <v>397</v>
      </c>
      <c r="E240" s="6" t="s">
        <v>569</v>
      </c>
      <c r="F240" s="7" t="s">
        <v>741</v>
      </c>
      <c r="G240" s="7" t="s">
        <v>741</v>
      </c>
      <c r="H240" s="6" t="s">
        <v>86</v>
      </c>
      <c r="I240" s="6"/>
      <c r="J240" s="6"/>
      <c r="K240" s="6" t="s">
        <v>331</v>
      </c>
      <c r="L240" s="6" t="s">
        <v>333</v>
      </c>
      <c r="M240" s="6" t="s">
        <v>44</v>
      </c>
      <c r="N240" s="6" t="s">
        <v>742</v>
      </c>
      <c r="O240" s="17"/>
    </row>
    <row r="241" ht="15.75" hidden="1" customHeight="1">
      <c r="A241" s="5">
        <v>174.0</v>
      </c>
      <c r="B241" s="5">
        <v>4.0</v>
      </c>
      <c r="C241" s="6" t="s">
        <v>187</v>
      </c>
      <c r="D241" s="6" t="s">
        <v>188</v>
      </c>
      <c r="E241" s="6" t="s">
        <v>569</v>
      </c>
      <c r="F241" s="7" t="s">
        <v>743</v>
      </c>
      <c r="G241" s="7" t="s">
        <v>744</v>
      </c>
      <c r="H241" s="6" t="s">
        <v>86</v>
      </c>
      <c r="I241" s="6"/>
      <c r="J241" s="6"/>
      <c r="K241" s="6" t="s">
        <v>331</v>
      </c>
      <c r="L241" s="6" t="s">
        <v>745</v>
      </c>
      <c r="M241" s="6" t="s">
        <v>746</v>
      </c>
      <c r="N241" s="6" t="s">
        <v>546</v>
      </c>
      <c r="O241" s="17"/>
    </row>
    <row r="242" ht="15.75" hidden="1" customHeight="1">
      <c r="A242" s="5">
        <v>351.0</v>
      </c>
      <c r="B242" s="5">
        <v>5.0</v>
      </c>
      <c r="C242" s="6" t="s">
        <v>396</v>
      </c>
      <c r="D242" s="6" t="s">
        <v>397</v>
      </c>
      <c r="E242" s="6" t="s">
        <v>569</v>
      </c>
      <c r="F242" s="7" t="s">
        <v>747</v>
      </c>
      <c r="G242" s="7" t="s">
        <v>748</v>
      </c>
      <c r="H242" s="6" t="s">
        <v>86</v>
      </c>
      <c r="I242" s="6"/>
      <c r="J242" s="6"/>
      <c r="K242" s="6" t="s">
        <v>331</v>
      </c>
      <c r="L242" s="6" t="s">
        <v>715</v>
      </c>
      <c r="M242" s="6" t="s">
        <v>749</v>
      </c>
      <c r="N242" s="6"/>
      <c r="O242" s="17"/>
    </row>
    <row r="243" ht="15.75" hidden="1" customHeight="1">
      <c r="A243" s="5">
        <v>190.0</v>
      </c>
      <c r="B243" s="5">
        <v>4.0</v>
      </c>
      <c r="C243" s="6" t="s">
        <v>187</v>
      </c>
      <c r="D243" s="6" t="s">
        <v>188</v>
      </c>
      <c r="E243" s="6" t="s">
        <v>569</v>
      </c>
      <c r="F243" s="7" t="s">
        <v>750</v>
      </c>
      <c r="G243" s="7" t="s">
        <v>751</v>
      </c>
      <c r="H243" s="6" t="s">
        <v>86</v>
      </c>
      <c r="I243" s="6"/>
      <c r="J243" s="6"/>
      <c r="K243" s="6" t="s">
        <v>331</v>
      </c>
      <c r="L243" s="6" t="s">
        <v>715</v>
      </c>
      <c r="M243" s="6" t="s">
        <v>749</v>
      </c>
      <c r="N243" s="6"/>
      <c r="O243" s="17"/>
    </row>
    <row r="244" ht="15.75" hidden="1" customHeight="1">
      <c r="A244" s="5">
        <v>192.0</v>
      </c>
      <c r="B244" s="5">
        <v>4.0</v>
      </c>
      <c r="C244" s="6" t="s">
        <v>187</v>
      </c>
      <c r="D244" s="6" t="s">
        <v>188</v>
      </c>
      <c r="E244" s="6" t="s">
        <v>569</v>
      </c>
      <c r="F244" s="7" t="s">
        <v>752</v>
      </c>
      <c r="G244" s="7" t="s">
        <v>753</v>
      </c>
      <c r="H244" s="6" t="s">
        <v>86</v>
      </c>
      <c r="I244" s="6"/>
      <c r="J244" s="6"/>
      <c r="K244" s="6" t="s">
        <v>331</v>
      </c>
      <c r="L244" s="6" t="s">
        <v>754</v>
      </c>
      <c r="M244" s="6" t="s">
        <v>304</v>
      </c>
      <c r="N244" s="6"/>
      <c r="O244" s="17"/>
    </row>
    <row r="245" ht="15.75" hidden="1" customHeight="1">
      <c r="A245" s="5">
        <v>635.0</v>
      </c>
      <c r="B245" s="5">
        <v>6.0</v>
      </c>
      <c r="C245" s="6" t="s">
        <v>15</v>
      </c>
      <c r="D245" s="6" t="s">
        <v>16</v>
      </c>
      <c r="E245" s="6" t="s">
        <v>569</v>
      </c>
      <c r="F245" s="7" t="s">
        <v>755</v>
      </c>
      <c r="G245" s="7" t="s">
        <v>755</v>
      </c>
      <c r="H245" s="6" t="s">
        <v>714</v>
      </c>
      <c r="I245" s="6"/>
      <c r="J245" s="6"/>
      <c r="K245" s="6" t="s">
        <v>331</v>
      </c>
      <c r="L245" s="6" t="s">
        <v>754</v>
      </c>
      <c r="M245" s="6"/>
      <c r="N245" s="6"/>
      <c r="O245" s="17"/>
    </row>
    <row r="246" ht="15.75" hidden="1" customHeight="1">
      <c r="A246" s="5">
        <v>355.0</v>
      </c>
      <c r="B246" s="5">
        <v>5.0</v>
      </c>
      <c r="C246" s="6" t="s">
        <v>396</v>
      </c>
      <c r="D246" s="6" t="s">
        <v>397</v>
      </c>
      <c r="E246" s="6" t="s">
        <v>569</v>
      </c>
      <c r="F246" s="7" t="s">
        <v>756</v>
      </c>
      <c r="G246" s="7" t="s">
        <v>757</v>
      </c>
      <c r="H246" s="6" t="s">
        <v>191</v>
      </c>
      <c r="I246" s="6"/>
      <c r="J246" s="6"/>
      <c r="K246" s="6" t="s">
        <v>191</v>
      </c>
      <c r="L246" s="6" t="s">
        <v>112</v>
      </c>
      <c r="M246" s="6" t="s">
        <v>203</v>
      </c>
      <c r="O246" s="4"/>
    </row>
    <row r="247" ht="15.75" hidden="1" customHeight="1">
      <c r="A247" s="5">
        <v>165.0</v>
      </c>
      <c r="B247" s="5">
        <v>4.0</v>
      </c>
      <c r="C247" s="6" t="s">
        <v>187</v>
      </c>
      <c r="D247" s="6" t="s">
        <v>188</v>
      </c>
      <c r="E247" s="6" t="s">
        <v>569</v>
      </c>
      <c r="F247" s="7" t="s">
        <v>758</v>
      </c>
      <c r="G247" s="7" t="s">
        <v>759</v>
      </c>
      <c r="H247" s="6" t="s">
        <v>191</v>
      </c>
      <c r="I247" s="6"/>
      <c r="J247" s="6"/>
      <c r="K247" s="6" t="s">
        <v>191</v>
      </c>
      <c r="L247" s="6" t="s">
        <v>112</v>
      </c>
      <c r="M247" s="6" t="s">
        <v>203</v>
      </c>
      <c r="O247" s="4"/>
    </row>
    <row r="248" ht="15.75" hidden="1" customHeight="1">
      <c r="A248" s="5">
        <v>195.0</v>
      </c>
      <c r="B248" s="5">
        <v>4.0</v>
      </c>
      <c r="C248" s="6" t="s">
        <v>187</v>
      </c>
      <c r="D248" s="6" t="s">
        <v>188</v>
      </c>
      <c r="E248" s="6" t="s">
        <v>569</v>
      </c>
      <c r="F248" s="7" t="s">
        <v>760</v>
      </c>
      <c r="G248" s="7" t="s">
        <v>761</v>
      </c>
      <c r="H248" s="6" t="s">
        <v>86</v>
      </c>
      <c r="I248" s="6"/>
      <c r="J248" s="6"/>
      <c r="K248" s="6" t="s">
        <v>762</v>
      </c>
      <c r="L248" s="6" t="s">
        <v>763</v>
      </c>
      <c r="M248" s="6"/>
      <c r="N248" s="6"/>
      <c r="O248" s="17"/>
    </row>
    <row r="249" ht="15.75" hidden="1" customHeight="1">
      <c r="A249" s="5">
        <v>353.0</v>
      </c>
      <c r="B249" s="5">
        <v>5.0</v>
      </c>
      <c r="C249" s="6" t="s">
        <v>396</v>
      </c>
      <c r="D249" s="6" t="s">
        <v>397</v>
      </c>
      <c r="E249" s="6" t="s">
        <v>569</v>
      </c>
      <c r="F249" s="7" t="s">
        <v>764</v>
      </c>
      <c r="G249" s="7" t="s">
        <v>765</v>
      </c>
      <c r="H249" s="6" t="s">
        <v>86</v>
      </c>
      <c r="I249" s="6"/>
      <c r="J249" s="6"/>
      <c r="K249" s="6" t="s">
        <v>331</v>
      </c>
      <c r="L249" s="6" t="s">
        <v>766</v>
      </c>
      <c r="M249" s="6"/>
      <c r="N249" s="6"/>
      <c r="O249" s="17"/>
    </row>
    <row r="250" ht="15.75" hidden="1" customHeight="1">
      <c r="A250" s="5">
        <v>423.0</v>
      </c>
      <c r="B250" s="5">
        <v>12.0</v>
      </c>
      <c r="C250" s="6" t="s">
        <v>481</v>
      </c>
      <c r="D250" s="6" t="s">
        <v>482</v>
      </c>
      <c r="E250" s="6" t="s">
        <v>569</v>
      </c>
      <c r="F250" s="7" t="s">
        <v>767</v>
      </c>
      <c r="G250" s="7" t="s">
        <v>768</v>
      </c>
      <c r="H250" s="6" t="s">
        <v>86</v>
      </c>
      <c r="I250" s="6"/>
      <c r="J250" s="6"/>
      <c r="K250" s="6" t="s">
        <v>762</v>
      </c>
      <c r="L250" s="6" t="s">
        <v>766</v>
      </c>
      <c r="M250" s="6" t="s">
        <v>304</v>
      </c>
      <c r="N250" s="6"/>
      <c r="O250" s="17"/>
    </row>
    <row r="251" ht="15.75" hidden="1" customHeight="1">
      <c r="A251" s="5">
        <v>424.0</v>
      </c>
      <c r="B251" s="5">
        <v>12.0</v>
      </c>
      <c r="C251" s="6" t="s">
        <v>481</v>
      </c>
      <c r="D251" s="6" t="s">
        <v>482</v>
      </c>
      <c r="E251" s="6" t="s">
        <v>569</v>
      </c>
      <c r="F251" s="7" t="s">
        <v>769</v>
      </c>
      <c r="G251" s="7" t="s">
        <v>769</v>
      </c>
      <c r="H251" s="6" t="s">
        <v>86</v>
      </c>
      <c r="I251" s="6"/>
      <c r="J251" s="6"/>
      <c r="K251" s="6" t="s">
        <v>331</v>
      </c>
      <c r="L251" s="6" t="s">
        <v>89</v>
      </c>
      <c r="M251" s="6"/>
      <c r="N251" s="6"/>
      <c r="O251" s="17"/>
    </row>
    <row r="252" ht="15.75" hidden="1" customHeight="1">
      <c r="A252" s="5">
        <v>422.0</v>
      </c>
      <c r="B252" s="5">
        <v>12.0</v>
      </c>
      <c r="C252" s="6" t="s">
        <v>481</v>
      </c>
      <c r="D252" s="6" t="s">
        <v>482</v>
      </c>
      <c r="E252" s="6" t="s">
        <v>569</v>
      </c>
      <c r="F252" s="7" t="s">
        <v>770</v>
      </c>
      <c r="G252" s="7" t="s">
        <v>770</v>
      </c>
      <c r="H252" s="6" t="s">
        <v>86</v>
      </c>
      <c r="I252" s="6"/>
      <c r="J252" s="6"/>
      <c r="K252" s="6" t="s">
        <v>331</v>
      </c>
      <c r="L252" s="6" t="s">
        <v>89</v>
      </c>
      <c r="M252" s="6"/>
      <c r="N252" s="6"/>
      <c r="O252" s="17"/>
    </row>
    <row r="253" ht="15.75" hidden="1" customHeight="1">
      <c r="A253" s="5">
        <v>359.0</v>
      </c>
      <c r="B253" s="5">
        <v>5.0</v>
      </c>
      <c r="C253" s="6" t="s">
        <v>396</v>
      </c>
      <c r="D253" s="6" t="s">
        <v>397</v>
      </c>
      <c r="E253" s="6" t="s">
        <v>569</v>
      </c>
      <c r="F253" s="7" t="s">
        <v>771</v>
      </c>
      <c r="G253" s="7" t="s">
        <v>772</v>
      </c>
      <c r="H253" s="6" t="s">
        <v>191</v>
      </c>
      <c r="I253" s="6"/>
      <c r="J253" s="6"/>
      <c r="K253" s="6" t="s">
        <v>331</v>
      </c>
      <c r="L253" s="6" t="s">
        <v>162</v>
      </c>
      <c r="M253" s="6" t="s">
        <v>194</v>
      </c>
      <c r="N253" s="6"/>
      <c r="O253" s="4"/>
    </row>
    <row r="254" ht="15.75" hidden="1" customHeight="1">
      <c r="A254" s="5">
        <v>169.0</v>
      </c>
      <c r="B254" s="5">
        <v>4.0</v>
      </c>
      <c r="C254" s="6" t="s">
        <v>187</v>
      </c>
      <c r="D254" s="6" t="s">
        <v>188</v>
      </c>
      <c r="E254" s="6" t="s">
        <v>569</v>
      </c>
      <c r="F254" s="7" t="s">
        <v>773</v>
      </c>
      <c r="G254" s="7" t="s">
        <v>774</v>
      </c>
      <c r="H254" s="6" t="s">
        <v>191</v>
      </c>
      <c r="I254" s="6"/>
      <c r="J254" s="6"/>
      <c r="K254" s="6" t="s">
        <v>331</v>
      </c>
      <c r="L254" s="6" t="s">
        <v>162</v>
      </c>
      <c r="M254" s="6" t="s">
        <v>194</v>
      </c>
      <c r="N254" s="6"/>
      <c r="O254" s="4"/>
    </row>
    <row r="255" ht="15.75" hidden="1" customHeight="1">
      <c r="A255" s="5">
        <v>417.0</v>
      </c>
      <c r="B255" s="5">
        <v>12.0</v>
      </c>
      <c r="C255" s="6" t="s">
        <v>481</v>
      </c>
      <c r="D255" s="6" t="s">
        <v>482</v>
      </c>
      <c r="E255" s="6" t="s">
        <v>569</v>
      </c>
      <c r="F255" s="7" t="s">
        <v>775</v>
      </c>
      <c r="G255" s="7" t="s">
        <v>776</v>
      </c>
      <c r="H255" s="6" t="s">
        <v>191</v>
      </c>
      <c r="I255" s="6"/>
      <c r="J255" s="6"/>
      <c r="K255" s="6" t="s">
        <v>331</v>
      </c>
      <c r="L255" s="6" t="s">
        <v>162</v>
      </c>
      <c r="M255" s="6" t="s">
        <v>194</v>
      </c>
      <c r="N255" s="6"/>
      <c r="O255" s="4"/>
    </row>
    <row r="256" ht="15.75" hidden="1" customHeight="1">
      <c r="A256" s="5">
        <v>411.0</v>
      </c>
      <c r="B256" s="5">
        <v>5.0</v>
      </c>
      <c r="C256" s="6" t="s">
        <v>396</v>
      </c>
      <c r="D256" s="6" t="s">
        <v>397</v>
      </c>
      <c r="E256" s="6" t="s">
        <v>569</v>
      </c>
      <c r="F256" s="7" t="s">
        <v>777</v>
      </c>
      <c r="G256" s="7" t="s">
        <v>778</v>
      </c>
      <c r="H256" s="6" t="s">
        <v>191</v>
      </c>
      <c r="I256" s="6"/>
      <c r="J256" s="6"/>
      <c r="K256" s="6" t="s">
        <v>331</v>
      </c>
      <c r="L256" s="6" t="s">
        <v>162</v>
      </c>
      <c r="M256" s="6" t="s">
        <v>194</v>
      </c>
      <c r="N256" s="6"/>
      <c r="O256" s="4"/>
    </row>
    <row r="257" ht="15.75" hidden="1" customHeight="1">
      <c r="A257" s="5">
        <v>419.0</v>
      </c>
      <c r="B257" s="5">
        <v>12.0</v>
      </c>
      <c r="C257" s="6" t="s">
        <v>481</v>
      </c>
      <c r="D257" s="6" t="s">
        <v>482</v>
      </c>
      <c r="E257" s="6" t="s">
        <v>569</v>
      </c>
      <c r="F257" s="7" t="s">
        <v>779</v>
      </c>
      <c r="G257" s="7" t="s">
        <v>779</v>
      </c>
      <c r="H257" s="6" t="s">
        <v>191</v>
      </c>
      <c r="I257" s="6"/>
      <c r="J257" s="6"/>
      <c r="K257" s="6" t="s">
        <v>331</v>
      </c>
      <c r="L257" s="6" t="s">
        <v>162</v>
      </c>
      <c r="M257" s="6" t="s">
        <v>194</v>
      </c>
      <c r="N257" s="6"/>
      <c r="O257" s="4"/>
    </row>
    <row r="258" ht="15.75" hidden="1" customHeight="1">
      <c r="A258" s="5">
        <v>16.0</v>
      </c>
      <c r="B258" s="5">
        <v>1.0</v>
      </c>
      <c r="C258" s="6" t="s">
        <v>82</v>
      </c>
      <c r="D258" s="6" t="s">
        <v>83</v>
      </c>
      <c r="E258" s="6" t="s">
        <v>569</v>
      </c>
      <c r="F258" s="7" t="s">
        <v>780</v>
      </c>
      <c r="G258" s="7" t="s">
        <v>781</v>
      </c>
      <c r="H258" s="6" t="s">
        <v>191</v>
      </c>
      <c r="I258" s="6"/>
      <c r="J258" s="6"/>
      <c r="K258" s="6" t="s">
        <v>331</v>
      </c>
      <c r="L258" s="6" t="s">
        <v>162</v>
      </c>
      <c r="M258" s="6" t="s">
        <v>194</v>
      </c>
      <c r="N258" s="6"/>
      <c r="O258" s="4"/>
    </row>
    <row r="259" ht="15.75" hidden="1" customHeight="1">
      <c r="A259" s="5">
        <v>229.0</v>
      </c>
      <c r="B259" s="5">
        <v>4.0</v>
      </c>
      <c r="C259" s="6" t="s">
        <v>187</v>
      </c>
      <c r="D259" s="6" t="s">
        <v>188</v>
      </c>
      <c r="E259" s="6" t="s">
        <v>569</v>
      </c>
      <c r="F259" s="7" t="s">
        <v>782</v>
      </c>
      <c r="G259" s="7" t="s">
        <v>778</v>
      </c>
      <c r="H259" s="6" t="s">
        <v>191</v>
      </c>
      <c r="I259" s="6"/>
      <c r="J259" s="6"/>
      <c r="K259" s="6" t="s">
        <v>331</v>
      </c>
      <c r="L259" s="6" t="s">
        <v>162</v>
      </c>
      <c r="M259" s="6" t="s">
        <v>194</v>
      </c>
      <c r="N259" s="6"/>
      <c r="O259" s="4"/>
    </row>
    <row r="260" ht="15.75" hidden="1" customHeight="1">
      <c r="A260" s="5">
        <v>373.0</v>
      </c>
      <c r="B260" s="5">
        <v>5.0</v>
      </c>
      <c r="C260" s="6" t="s">
        <v>396</v>
      </c>
      <c r="D260" s="6" t="s">
        <v>397</v>
      </c>
      <c r="E260" s="6" t="s">
        <v>569</v>
      </c>
      <c r="F260" s="7" t="s">
        <v>783</v>
      </c>
      <c r="G260" s="7" t="s">
        <v>784</v>
      </c>
      <c r="H260" s="6" t="s">
        <v>191</v>
      </c>
      <c r="I260" s="6"/>
      <c r="J260" s="6"/>
      <c r="K260" s="6" t="s">
        <v>331</v>
      </c>
      <c r="L260" s="6" t="s">
        <v>162</v>
      </c>
      <c r="M260" s="6" t="s">
        <v>194</v>
      </c>
      <c r="N260" s="6"/>
      <c r="O260" s="4"/>
    </row>
    <row r="261" ht="15.75" hidden="1" customHeight="1">
      <c r="A261" s="5">
        <v>201.0</v>
      </c>
      <c r="B261" s="5">
        <v>4.0</v>
      </c>
      <c r="C261" s="6" t="s">
        <v>187</v>
      </c>
      <c r="D261" s="6" t="s">
        <v>188</v>
      </c>
      <c r="E261" s="6" t="s">
        <v>569</v>
      </c>
      <c r="F261" s="7" t="s">
        <v>785</v>
      </c>
      <c r="G261" s="7" t="s">
        <v>786</v>
      </c>
      <c r="H261" s="6" t="s">
        <v>191</v>
      </c>
      <c r="I261" s="6"/>
      <c r="J261" s="6"/>
      <c r="K261" s="6" t="s">
        <v>331</v>
      </c>
      <c r="L261" s="6" t="s">
        <v>162</v>
      </c>
      <c r="M261" s="6" t="s">
        <v>194</v>
      </c>
      <c r="N261" s="6"/>
      <c r="O261" s="4"/>
    </row>
    <row r="262" ht="15.75" hidden="1" customHeight="1">
      <c r="A262" s="5">
        <v>562.0</v>
      </c>
      <c r="B262" s="5">
        <v>7.0</v>
      </c>
      <c r="C262" s="6" t="s">
        <v>538</v>
      </c>
      <c r="D262" s="6" t="s">
        <v>539</v>
      </c>
      <c r="E262" s="6" t="s">
        <v>569</v>
      </c>
      <c r="F262" s="7" t="s">
        <v>787</v>
      </c>
      <c r="G262" s="7" t="s">
        <v>788</v>
      </c>
      <c r="H262" s="6" t="s">
        <v>704</v>
      </c>
      <c r="I262" s="6"/>
      <c r="J262" s="6"/>
      <c r="K262" s="6" t="s">
        <v>331</v>
      </c>
      <c r="L262" s="6" t="s">
        <v>191</v>
      </c>
      <c r="M262" s="6" t="s">
        <v>326</v>
      </c>
      <c r="N262" s="6" t="s">
        <v>203</v>
      </c>
      <c r="O262" s="4"/>
    </row>
    <row r="263" ht="15.75" hidden="1" customHeight="1">
      <c r="A263" s="5">
        <v>13.0</v>
      </c>
      <c r="B263" s="5">
        <v>1.0</v>
      </c>
      <c r="C263" s="6" t="s">
        <v>82</v>
      </c>
      <c r="D263" s="6" t="s">
        <v>83</v>
      </c>
      <c r="E263" s="6" t="s">
        <v>569</v>
      </c>
      <c r="F263" s="7" t="s">
        <v>789</v>
      </c>
      <c r="G263" s="7" t="s">
        <v>790</v>
      </c>
      <c r="H263" s="6" t="s">
        <v>191</v>
      </c>
      <c r="I263" s="6"/>
      <c r="J263" s="6"/>
      <c r="K263" s="6" t="s">
        <v>331</v>
      </c>
      <c r="L263" s="6" t="s">
        <v>191</v>
      </c>
      <c r="M263" s="6" t="s">
        <v>633</v>
      </c>
      <c r="N263" s="6" t="s">
        <v>203</v>
      </c>
      <c r="O263" s="4"/>
    </row>
    <row r="264" ht="15.75" hidden="1" customHeight="1">
      <c r="A264" s="5">
        <v>563.0</v>
      </c>
      <c r="B264" s="5">
        <v>7.0</v>
      </c>
      <c r="C264" s="6" t="s">
        <v>538</v>
      </c>
      <c r="D264" s="6" t="s">
        <v>539</v>
      </c>
      <c r="E264" s="6" t="s">
        <v>569</v>
      </c>
      <c r="F264" s="7" t="s">
        <v>791</v>
      </c>
      <c r="G264" s="7" t="s">
        <v>792</v>
      </c>
      <c r="H264" s="6" t="s">
        <v>704</v>
      </c>
      <c r="I264" s="6"/>
      <c r="J264" s="6"/>
      <c r="K264" s="6" t="s">
        <v>331</v>
      </c>
      <c r="L264" s="6" t="s">
        <v>162</v>
      </c>
      <c r="M264" s="6" t="s">
        <v>194</v>
      </c>
      <c r="N264" s="6"/>
      <c r="O264" s="4"/>
    </row>
    <row r="265" ht="15.75" hidden="1" customHeight="1">
      <c r="A265" s="5">
        <v>14.0</v>
      </c>
      <c r="B265" s="5">
        <v>1.0</v>
      </c>
      <c r="C265" s="6" t="s">
        <v>82</v>
      </c>
      <c r="D265" s="6" t="s">
        <v>83</v>
      </c>
      <c r="E265" s="6" t="s">
        <v>569</v>
      </c>
      <c r="F265" s="7" t="s">
        <v>793</v>
      </c>
      <c r="G265" s="7" t="s">
        <v>794</v>
      </c>
      <c r="H265" s="6" t="s">
        <v>191</v>
      </c>
      <c r="I265" s="6"/>
      <c r="J265" s="6"/>
      <c r="K265" s="6" t="s">
        <v>331</v>
      </c>
      <c r="L265" s="6" t="s">
        <v>162</v>
      </c>
      <c r="M265" s="6" t="s">
        <v>194</v>
      </c>
      <c r="N265" s="6"/>
      <c r="O265" s="4"/>
    </row>
    <row r="266" ht="15.75" hidden="1" customHeight="1">
      <c r="A266" s="5">
        <v>9.0</v>
      </c>
      <c r="B266" s="5">
        <v>1.0</v>
      </c>
      <c r="C266" s="6" t="s">
        <v>82</v>
      </c>
      <c r="D266" s="6" t="s">
        <v>83</v>
      </c>
      <c r="E266" s="6" t="s">
        <v>569</v>
      </c>
      <c r="F266" s="7" t="s">
        <v>795</v>
      </c>
      <c r="G266" s="7" t="s">
        <v>796</v>
      </c>
      <c r="H266" s="6" t="s">
        <v>191</v>
      </c>
      <c r="I266" s="6"/>
      <c r="J266" s="6"/>
      <c r="K266" s="6" t="s">
        <v>331</v>
      </c>
      <c r="L266" s="6" t="s">
        <v>162</v>
      </c>
      <c r="M266" s="6" t="s">
        <v>205</v>
      </c>
      <c r="N266" s="6" t="s">
        <v>342</v>
      </c>
      <c r="O266" s="4"/>
    </row>
    <row r="267" ht="15.75" hidden="1" customHeight="1">
      <c r="A267" s="5">
        <v>343.0</v>
      </c>
      <c r="B267" s="5">
        <v>5.0</v>
      </c>
      <c r="C267" s="6" t="s">
        <v>396</v>
      </c>
      <c r="D267" s="6" t="s">
        <v>397</v>
      </c>
      <c r="E267" s="6" t="s">
        <v>569</v>
      </c>
      <c r="F267" s="7" t="s">
        <v>797</v>
      </c>
      <c r="G267" s="7" t="s">
        <v>797</v>
      </c>
      <c r="H267" s="6" t="s">
        <v>86</v>
      </c>
      <c r="I267" s="6"/>
      <c r="J267" s="6"/>
      <c r="K267" s="6" t="s">
        <v>331</v>
      </c>
      <c r="L267" s="6" t="s">
        <v>798</v>
      </c>
      <c r="M267" s="6" t="s">
        <v>89</v>
      </c>
      <c r="N267" s="6"/>
      <c r="O267" s="17"/>
    </row>
    <row r="268" ht="15.75" hidden="1" customHeight="1">
      <c r="A268" s="5">
        <v>420.0</v>
      </c>
      <c r="B268" s="5">
        <v>12.0</v>
      </c>
      <c r="C268" s="6" t="s">
        <v>481</v>
      </c>
      <c r="D268" s="6" t="s">
        <v>482</v>
      </c>
      <c r="E268" s="6" t="s">
        <v>569</v>
      </c>
      <c r="F268" s="7" t="s">
        <v>799</v>
      </c>
      <c r="G268" s="7" t="s">
        <v>799</v>
      </c>
      <c r="H268" s="6" t="s">
        <v>86</v>
      </c>
      <c r="I268" s="6"/>
      <c r="J268" s="6"/>
      <c r="K268" s="6" t="s">
        <v>331</v>
      </c>
      <c r="L268" s="6" t="s">
        <v>798</v>
      </c>
      <c r="M268" s="6" t="s">
        <v>89</v>
      </c>
      <c r="N268" s="6"/>
      <c r="O268" s="17"/>
    </row>
    <row r="269" ht="15.75" hidden="1" customHeight="1">
      <c r="A269" s="5">
        <v>632.0</v>
      </c>
      <c r="B269" s="5">
        <v>6.0</v>
      </c>
      <c r="C269" s="6" t="s">
        <v>15</v>
      </c>
      <c r="D269" s="6" t="s">
        <v>16</v>
      </c>
      <c r="E269" s="6" t="s">
        <v>569</v>
      </c>
      <c r="F269" s="7" t="s">
        <v>799</v>
      </c>
      <c r="G269" s="7" t="s">
        <v>799</v>
      </c>
      <c r="H269" s="6" t="s">
        <v>714</v>
      </c>
      <c r="I269" s="6"/>
      <c r="J269" s="6"/>
      <c r="K269" s="6" t="s">
        <v>331</v>
      </c>
      <c r="L269" s="6" t="s">
        <v>798</v>
      </c>
      <c r="M269" s="6" t="s">
        <v>89</v>
      </c>
      <c r="N269" s="6"/>
      <c r="O269" s="17"/>
    </row>
    <row r="270" ht="15.75" hidden="1" customHeight="1">
      <c r="A270" s="5">
        <v>183.0</v>
      </c>
      <c r="B270" s="5">
        <v>4.0</v>
      </c>
      <c r="C270" s="6" t="s">
        <v>187</v>
      </c>
      <c r="D270" s="6" t="s">
        <v>188</v>
      </c>
      <c r="E270" s="6" t="s">
        <v>569</v>
      </c>
      <c r="F270" s="7" t="s">
        <v>800</v>
      </c>
      <c r="G270" s="7" t="s">
        <v>801</v>
      </c>
      <c r="H270" s="6" t="s">
        <v>86</v>
      </c>
      <c r="I270" s="6"/>
      <c r="J270" s="6"/>
      <c r="K270" s="6" t="s">
        <v>331</v>
      </c>
      <c r="L270" s="6" t="s">
        <v>798</v>
      </c>
      <c r="M270" s="6" t="s">
        <v>89</v>
      </c>
      <c r="N270" s="6"/>
      <c r="O270" s="17"/>
    </row>
    <row r="271" ht="15.75" hidden="1" customHeight="1">
      <c r="A271" s="5">
        <v>1.0</v>
      </c>
      <c r="B271" s="5">
        <v>1.0</v>
      </c>
      <c r="C271" s="6" t="s">
        <v>82</v>
      </c>
      <c r="D271" s="6" t="s">
        <v>83</v>
      </c>
      <c r="E271" s="6" t="s">
        <v>569</v>
      </c>
      <c r="F271" s="7" t="s">
        <v>802</v>
      </c>
      <c r="G271" s="7" t="s">
        <v>803</v>
      </c>
      <c r="H271" s="6" t="s">
        <v>86</v>
      </c>
      <c r="I271" s="6"/>
      <c r="J271" s="6"/>
      <c r="K271" s="6" t="s">
        <v>331</v>
      </c>
      <c r="L271" s="6" t="s">
        <v>798</v>
      </c>
      <c r="M271" s="6" t="s">
        <v>89</v>
      </c>
      <c r="N271" s="6"/>
      <c r="O271" s="17"/>
    </row>
    <row r="272" ht="15.75" hidden="1" customHeight="1">
      <c r="A272" s="5">
        <v>636.0</v>
      </c>
      <c r="B272" s="5">
        <v>6.0</v>
      </c>
      <c r="C272" s="6" t="s">
        <v>15</v>
      </c>
      <c r="D272" s="6" t="s">
        <v>16</v>
      </c>
      <c r="E272" s="6" t="s">
        <v>569</v>
      </c>
      <c r="F272" s="7" t="s">
        <v>804</v>
      </c>
      <c r="G272" s="7" t="s">
        <v>804</v>
      </c>
      <c r="H272" s="6" t="s">
        <v>714</v>
      </c>
      <c r="I272" s="6"/>
      <c r="J272" s="6"/>
      <c r="K272" s="6" t="s">
        <v>331</v>
      </c>
      <c r="L272" s="6" t="s">
        <v>805</v>
      </c>
      <c r="M272" s="6" t="s">
        <v>304</v>
      </c>
      <c r="N272" s="6"/>
      <c r="O272" s="17"/>
    </row>
    <row r="273" ht="15.75" hidden="1" customHeight="1">
      <c r="A273" s="5">
        <v>191.0</v>
      </c>
      <c r="B273" s="5">
        <v>4.0</v>
      </c>
      <c r="C273" s="6" t="s">
        <v>187</v>
      </c>
      <c r="D273" s="6" t="s">
        <v>188</v>
      </c>
      <c r="E273" s="6" t="s">
        <v>569</v>
      </c>
      <c r="F273" s="7" t="s">
        <v>806</v>
      </c>
      <c r="G273" s="7" t="s">
        <v>807</v>
      </c>
      <c r="H273" s="6" t="s">
        <v>86</v>
      </c>
      <c r="I273" s="6"/>
      <c r="J273" s="6"/>
      <c r="K273" s="6" t="s">
        <v>331</v>
      </c>
      <c r="L273" s="6" t="s">
        <v>805</v>
      </c>
      <c r="M273" s="6" t="s">
        <v>808</v>
      </c>
      <c r="N273" s="6" t="s">
        <v>203</v>
      </c>
      <c r="O273" s="17"/>
    </row>
    <row r="274" ht="15.75" hidden="1" customHeight="1">
      <c r="A274" s="5">
        <v>460.0</v>
      </c>
      <c r="B274" s="5">
        <v>12.0</v>
      </c>
      <c r="C274" s="6" t="s">
        <v>481</v>
      </c>
      <c r="D274" s="6" t="s">
        <v>482</v>
      </c>
      <c r="E274" s="6" t="s">
        <v>569</v>
      </c>
      <c r="F274" s="7" t="s">
        <v>809</v>
      </c>
      <c r="G274" s="7" t="s">
        <v>809</v>
      </c>
      <c r="H274" s="6" t="s">
        <v>86</v>
      </c>
      <c r="I274" s="6"/>
      <c r="J274" s="6"/>
      <c r="K274" s="6" t="s">
        <v>331</v>
      </c>
      <c r="L274" s="6" t="s">
        <v>810</v>
      </c>
      <c r="M274" s="6" t="s">
        <v>811</v>
      </c>
      <c r="N274" s="6"/>
      <c r="O274" s="17"/>
    </row>
    <row r="275" ht="15.75" hidden="1" customHeight="1">
      <c r="A275" s="5">
        <v>560.0</v>
      </c>
      <c r="B275" s="5">
        <v>7.0</v>
      </c>
      <c r="C275" s="6" t="s">
        <v>538</v>
      </c>
      <c r="D275" s="6" t="s">
        <v>539</v>
      </c>
      <c r="E275" s="6" t="s">
        <v>569</v>
      </c>
      <c r="F275" s="7" t="s">
        <v>812</v>
      </c>
      <c r="G275" s="7" t="s">
        <v>813</v>
      </c>
      <c r="H275" s="6" t="s">
        <v>704</v>
      </c>
      <c r="I275" s="6"/>
      <c r="J275" s="6"/>
      <c r="K275" s="6" t="s">
        <v>331</v>
      </c>
      <c r="L275" s="6" t="s">
        <v>545</v>
      </c>
      <c r="M275" s="6" t="s">
        <v>814</v>
      </c>
      <c r="N275" s="6"/>
      <c r="O275" s="4"/>
    </row>
    <row r="276" ht="15.75" hidden="1" customHeight="1">
      <c r="A276" s="5">
        <v>11.0</v>
      </c>
      <c r="B276" s="5">
        <v>1.0</v>
      </c>
      <c r="C276" s="6" t="s">
        <v>82</v>
      </c>
      <c r="D276" s="6" t="s">
        <v>83</v>
      </c>
      <c r="E276" s="6" t="s">
        <v>569</v>
      </c>
      <c r="F276" s="7" t="s">
        <v>815</v>
      </c>
      <c r="G276" s="7" t="s">
        <v>816</v>
      </c>
      <c r="H276" s="6" t="s">
        <v>191</v>
      </c>
      <c r="I276" s="6"/>
      <c r="J276" s="6"/>
      <c r="K276" s="6" t="s">
        <v>331</v>
      </c>
      <c r="L276" s="6" t="s">
        <v>545</v>
      </c>
      <c r="M276" s="6" t="s">
        <v>814</v>
      </c>
      <c r="N276" s="6"/>
      <c r="O276" s="4"/>
    </row>
    <row r="277" ht="15.75" hidden="1" customHeight="1">
      <c r="A277" s="5">
        <v>415.0</v>
      </c>
      <c r="B277" s="5">
        <v>12.0</v>
      </c>
      <c r="C277" s="6" t="s">
        <v>481</v>
      </c>
      <c r="D277" s="6" t="s">
        <v>482</v>
      </c>
      <c r="E277" s="6" t="s">
        <v>569</v>
      </c>
      <c r="F277" s="7" t="s">
        <v>817</v>
      </c>
      <c r="G277" s="7" t="s">
        <v>817</v>
      </c>
      <c r="H277" s="6" t="s">
        <v>191</v>
      </c>
      <c r="I277" s="6"/>
      <c r="J277" s="6"/>
      <c r="K277" s="6" t="s">
        <v>331</v>
      </c>
      <c r="L277" s="6" t="s">
        <v>545</v>
      </c>
      <c r="M277" s="6" t="s">
        <v>814</v>
      </c>
      <c r="N277" s="6"/>
      <c r="O277" s="4"/>
    </row>
    <row r="278" ht="15.75" hidden="1" customHeight="1">
      <c r="A278" s="5">
        <v>158.0</v>
      </c>
      <c r="B278" s="5">
        <v>4.0</v>
      </c>
      <c r="C278" s="6" t="s">
        <v>187</v>
      </c>
      <c r="D278" s="6" t="s">
        <v>188</v>
      </c>
      <c r="E278" s="6" t="s">
        <v>569</v>
      </c>
      <c r="F278" s="7" t="s">
        <v>818</v>
      </c>
      <c r="G278" s="7" t="s">
        <v>819</v>
      </c>
      <c r="H278" s="6" t="s">
        <v>191</v>
      </c>
      <c r="I278" s="6"/>
      <c r="J278" s="6"/>
      <c r="K278" s="6" t="s">
        <v>331</v>
      </c>
      <c r="L278" s="6" t="s">
        <v>545</v>
      </c>
      <c r="M278" s="6" t="s">
        <v>814</v>
      </c>
      <c r="N278" s="6"/>
      <c r="O278" s="4"/>
    </row>
    <row r="279" ht="15.75" hidden="1" customHeight="1">
      <c r="A279" s="5">
        <v>342.0</v>
      </c>
      <c r="B279" s="5">
        <v>5.0</v>
      </c>
      <c r="C279" s="6" t="s">
        <v>396</v>
      </c>
      <c r="D279" s="6" t="s">
        <v>397</v>
      </c>
      <c r="E279" s="6" t="s">
        <v>569</v>
      </c>
      <c r="F279" s="7" t="s">
        <v>820</v>
      </c>
      <c r="G279" s="7" t="s">
        <v>821</v>
      </c>
      <c r="H279" s="6" t="s">
        <v>191</v>
      </c>
      <c r="I279" s="6"/>
      <c r="J279" s="6"/>
      <c r="K279" s="6" t="s">
        <v>331</v>
      </c>
      <c r="L279" s="6" t="s">
        <v>545</v>
      </c>
      <c r="M279" s="6" t="s">
        <v>814</v>
      </c>
      <c r="N279" s="6"/>
      <c r="O279" s="4"/>
    </row>
    <row r="280" ht="15.75" hidden="1" customHeight="1">
      <c r="A280" s="5">
        <v>361.0</v>
      </c>
      <c r="B280" s="5">
        <v>5.0</v>
      </c>
      <c r="C280" s="6" t="s">
        <v>396</v>
      </c>
      <c r="D280" s="6" t="s">
        <v>397</v>
      </c>
      <c r="E280" s="6" t="s">
        <v>569</v>
      </c>
      <c r="F280" s="7" t="s">
        <v>822</v>
      </c>
      <c r="G280" s="7" t="s">
        <v>823</v>
      </c>
      <c r="H280" s="6" t="s">
        <v>86</v>
      </c>
      <c r="I280" s="6"/>
      <c r="J280" s="6"/>
      <c r="K280" s="6" t="s">
        <v>331</v>
      </c>
      <c r="L280" s="6" t="s">
        <v>304</v>
      </c>
      <c r="M280" s="6" t="s">
        <v>203</v>
      </c>
      <c r="N280" s="6" t="s">
        <v>808</v>
      </c>
      <c r="O280" s="17" t="s">
        <v>273</v>
      </c>
    </row>
    <row r="281" ht="15.75" hidden="1" customHeight="1">
      <c r="A281" s="5">
        <v>639.0</v>
      </c>
      <c r="B281" s="5">
        <v>6.0</v>
      </c>
      <c r="C281" s="6" t="s">
        <v>15</v>
      </c>
      <c r="D281" s="6" t="s">
        <v>16</v>
      </c>
      <c r="E281" s="6" t="s">
        <v>569</v>
      </c>
      <c r="F281" s="7" t="s">
        <v>824</v>
      </c>
      <c r="G281" s="7" t="s">
        <v>824</v>
      </c>
      <c r="H281" s="6" t="s">
        <v>714</v>
      </c>
      <c r="I281" s="6"/>
      <c r="J281" s="6"/>
      <c r="K281" s="6" t="s">
        <v>331</v>
      </c>
      <c r="L281" s="6" t="s">
        <v>825</v>
      </c>
      <c r="M281" s="6" t="s">
        <v>32</v>
      </c>
      <c r="N281" s="6" t="s">
        <v>826</v>
      </c>
      <c r="O281" s="17"/>
    </row>
    <row r="282" ht="15.75" hidden="1" customHeight="1">
      <c r="A282" s="5">
        <v>451.0</v>
      </c>
      <c r="B282" s="5">
        <v>12.0</v>
      </c>
      <c r="C282" s="6" t="s">
        <v>481</v>
      </c>
      <c r="D282" s="6" t="s">
        <v>482</v>
      </c>
      <c r="E282" s="6" t="s">
        <v>569</v>
      </c>
      <c r="F282" s="7" t="s">
        <v>827</v>
      </c>
      <c r="G282" s="7" t="s">
        <v>827</v>
      </c>
      <c r="H282" s="6" t="s">
        <v>86</v>
      </c>
      <c r="I282" s="6"/>
      <c r="J282" s="6"/>
      <c r="K282" s="6" t="s">
        <v>762</v>
      </c>
      <c r="L282" s="6" t="s">
        <v>825</v>
      </c>
      <c r="M282" s="6" t="s">
        <v>32</v>
      </c>
      <c r="N282" s="6" t="s">
        <v>826</v>
      </c>
      <c r="O282" s="17"/>
    </row>
    <row r="283" ht="15.75" hidden="1" customHeight="1">
      <c r="A283" s="5">
        <v>186.0</v>
      </c>
      <c r="B283" s="5">
        <v>4.0</v>
      </c>
      <c r="C283" s="6" t="s">
        <v>187</v>
      </c>
      <c r="D283" s="6" t="s">
        <v>188</v>
      </c>
      <c r="E283" s="6" t="s">
        <v>569</v>
      </c>
      <c r="F283" s="7" t="s">
        <v>827</v>
      </c>
      <c r="G283" s="7" t="s">
        <v>828</v>
      </c>
      <c r="H283" s="6" t="s">
        <v>86</v>
      </c>
      <c r="I283" s="6"/>
      <c r="J283" s="6"/>
      <c r="K283" s="6" t="s">
        <v>762</v>
      </c>
      <c r="L283" s="6" t="s">
        <v>825</v>
      </c>
      <c r="M283" s="6" t="s">
        <v>32</v>
      </c>
      <c r="N283" s="6" t="s">
        <v>826</v>
      </c>
      <c r="O283" s="17"/>
    </row>
    <row r="284" ht="15.75" hidden="1" customHeight="1">
      <c r="A284" s="5">
        <v>5.0</v>
      </c>
      <c r="B284" s="5">
        <v>1.0</v>
      </c>
      <c r="C284" s="6" t="s">
        <v>82</v>
      </c>
      <c r="D284" s="6" t="s">
        <v>83</v>
      </c>
      <c r="E284" s="6" t="s">
        <v>569</v>
      </c>
      <c r="F284" s="7" t="s">
        <v>829</v>
      </c>
      <c r="G284" s="7" t="s">
        <v>830</v>
      </c>
      <c r="H284" s="6" t="s">
        <v>86</v>
      </c>
      <c r="I284" s="6"/>
      <c r="J284" s="6"/>
      <c r="K284" s="6" t="s">
        <v>762</v>
      </c>
      <c r="L284" s="6" t="s">
        <v>825</v>
      </c>
      <c r="M284" s="6" t="s">
        <v>32</v>
      </c>
      <c r="N284" s="6" t="s">
        <v>826</v>
      </c>
      <c r="O284" s="17"/>
    </row>
    <row r="285" ht="15.75" hidden="1" customHeight="1">
      <c r="A285" s="5">
        <v>407.0</v>
      </c>
      <c r="B285" s="5">
        <v>5.0</v>
      </c>
      <c r="C285" s="6" t="s">
        <v>396</v>
      </c>
      <c r="D285" s="6" t="s">
        <v>397</v>
      </c>
      <c r="E285" s="6" t="s">
        <v>569</v>
      </c>
      <c r="F285" s="7" t="s">
        <v>831</v>
      </c>
      <c r="G285" s="7" t="s">
        <v>831</v>
      </c>
      <c r="H285" s="6" t="s">
        <v>86</v>
      </c>
      <c r="I285" s="6"/>
      <c r="J285" s="6"/>
      <c r="K285" s="6" t="s">
        <v>762</v>
      </c>
      <c r="L285" s="6" t="s">
        <v>825</v>
      </c>
      <c r="M285" s="6" t="s">
        <v>32</v>
      </c>
      <c r="N285" s="6" t="s">
        <v>826</v>
      </c>
      <c r="O285" s="17"/>
    </row>
    <row r="286" ht="15.75" hidden="1" customHeight="1">
      <c r="A286" s="5">
        <v>4.0</v>
      </c>
      <c r="B286" s="5">
        <v>1.0</v>
      </c>
      <c r="C286" s="6" t="s">
        <v>82</v>
      </c>
      <c r="D286" s="6" t="s">
        <v>83</v>
      </c>
      <c r="E286" s="6" t="s">
        <v>569</v>
      </c>
      <c r="F286" s="7" t="s">
        <v>832</v>
      </c>
      <c r="G286" s="7" t="s">
        <v>833</v>
      </c>
      <c r="H286" s="6" t="s">
        <v>86</v>
      </c>
      <c r="I286" s="6"/>
      <c r="J286" s="6"/>
      <c r="K286" s="6" t="s">
        <v>331</v>
      </c>
      <c r="L286" s="6" t="s">
        <v>113</v>
      </c>
      <c r="M286" s="6" t="s">
        <v>333</v>
      </c>
      <c r="N286" s="6"/>
      <c r="O286" s="17"/>
    </row>
    <row r="287" ht="15.75" hidden="1" customHeight="1">
      <c r="A287" s="5">
        <v>110.0</v>
      </c>
      <c r="B287" s="5">
        <v>2.0</v>
      </c>
      <c r="C287" s="6" t="s">
        <v>124</v>
      </c>
      <c r="D287" s="6" t="s">
        <v>125</v>
      </c>
      <c r="E287" s="6" t="s">
        <v>569</v>
      </c>
      <c r="F287" s="7" t="s">
        <v>693</v>
      </c>
      <c r="G287" s="7" t="s">
        <v>701</v>
      </c>
      <c r="H287" s="6" t="s">
        <v>110</v>
      </c>
      <c r="I287" s="6"/>
      <c r="J287" s="6"/>
      <c r="K287" s="6" t="s">
        <v>331</v>
      </c>
      <c r="L287" s="6" t="s">
        <v>834</v>
      </c>
      <c r="M287" s="6" t="s">
        <v>21</v>
      </c>
      <c r="N287" s="6" t="s">
        <v>44</v>
      </c>
      <c r="O287" s="17" t="s">
        <v>835</v>
      </c>
    </row>
    <row r="288" ht="15.75" hidden="1" customHeight="1">
      <c r="A288" s="5">
        <v>111.0</v>
      </c>
      <c r="B288" s="5">
        <v>2.0</v>
      </c>
      <c r="C288" s="6" t="s">
        <v>124</v>
      </c>
      <c r="D288" s="6" t="s">
        <v>125</v>
      </c>
      <c r="E288" s="6" t="s">
        <v>569</v>
      </c>
      <c r="F288" s="7" t="s">
        <v>693</v>
      </c>
      <c r="G288" s="7" t="s">
        <v>701</v>
      </c>
      <c r="H288" s="6" t="s">
        <v>110</v>
      </c>
      <c r="I288" s="6"/>
      <c r="J288" s="6"/>
      <c r="K288" s="6" t="s">
        <v>331</v>
      </c>
      <c r="L288" s="6" t="s">
        <v>834</v>
      </c>
      <c r="M288" s="6" t="s">
        <v>21</v>
      </c>
      <c r="N288" s="6" t="s">
        <v>44</v>
      </c>
      <c r="O288" s="17" t="s">
        <v>835</v>
      </c>
    </row>
    <row r="289" ht="15.75" hidden="1" customHeight="1">
      <c r="A289" s="5">
        <v>345.0</v>
      </c>
      <c r="B289" s="5">
        <v>5.0</v>
      </c>
      <c r="C289" s="6" t="s">
        <v>396</v>
      </c>
      <c r="D289" s="6" t="s">
        <v>397</v>
      </c>
      <c r="E289" s="6" t="s">
        <v>569</v>
      </c>
      <c r="F289" s="7" t="s">
        <v>836</v>
      </c>
      <c r="G289" s="7" t="s">
        <v>836</v>
      </c>
      <c r="H289" s="6" t="s">
        <v>86</v>
      </c>
      <c r="I289" s="6"/>
      <c r="J289" s="6"/>
      <c r="K289" s="6" t="s">
        <v>331</v>
      </c>
      <c r="L289" s="6" t="s">
        <v>44</v>
      </c>
      <c r="M289" s="6" t="s">
        <v>89</v>
      </c>
      <c r="N289" s="6"/>
      <c r="O289" s="17"/>
    </row>
    <row r="290" ht="15.75" hidden="1" customHeight="1">
      <c r="A290" s="5">
        <v>633.0</v>
      </c>
      <c r="B290" s="5">
        <v>6.0</v>
      </c>
      <c r="C290" s="6" t="s">
        <v>15</v>
      </c>
      <c r="D290" s="6" t="s">
        <v>16</v>
      </c>
      <c r="E290" s="6" t="s">
        <v>569</v>
      </c>
      <c r="F290" s="7" t="s">
        <v>837</v>
      </c>
      <c r="G290" s="7" t="s">
        <v>837</v>
      </c>
      <c r="H290" s="6" t="s">
        <v>714</v>
      </c>
      <c r="I290" s="6"/>
      <c r="J290" s="6"/>
      <c r="K290" s="6" t="s">
        <v>331</v>
      </c>
      <c r="L290" s="6" t="s">
        <v>44</v>
      </c>
      <c r="M290" s="6" t="s">
        <v>89</v>
      </c>
      <c r="N290" s="6"/>
      <c r="O290" s="17"/>
    </row>
    <row r="291" ht="15.75" hidden="1" customHeight="1">
      <c r="A291" s="5">
        <v>433.0</v>
      </c>
      <c r="B291" s="5">
        <v>12.0</v>
      </c>
      <c r="C291" s="6" t="s">
        <v>481</v>
      </c>
      <c r="D291" s="6" t="s">
        <v>482</v>
      </c>
      <c r="E291" s="6" t="s">
        <v>569</v>
      </c>
      <c r="F291" s="7" t="s">
        <v>838</v>
      </c>
      <c r="G291" s="7" t="s">
        <v>838</v>
      </c>
      <c r="H291" s="6" t="s">
        <v>86</v>
      </c>
      <c r="I291" s="6"/>
      <c r="J291" s="6"/>
      <c r="K291" s="6" t="s">
        <v>331</v>
      </c>
      <c r="L291" s="6" t="s">
        <v>44</v>
      </c>
      <c r="M291" s="6" t="s">
        <v>839</v>
      </c>
      <c r="N291" s="6"/>
      <c r="O291" s="17"/>
    </row>
    <row r="292" ht="15.75" hidden="1" customHeight="1">
      <c r="A292" s="5">
        <v>3.0</v>
      </c>
      <c r="B292" s="5">
        <v>1.0</v>
      </c>
      <c r="C292" s="6" t="s">
        <v>82</v>
      </c>
      <c r="D292" s="6" t="s">
        <v>83</v>
      </c>
      <c r="E292" s="6" t="s">
        <v>569</v>
      </c>
      <c r="F292" s="7" t="s">
        <v>840</v>
      </c>
      <c r="G292" s="7" t="s">
        <v>841</v>
      </c>
      <c r="H292" s="6" t="s">
        <v>86</v>
      </c>
      <c r="I292" s="6"/>
      <c r="J292" s="6"/>
      <c r="K292" s="6" t="s">
        <v>331</v>
      </c>
      <c r="L292" s="6" t="s">
        <v>44</v>
      </c>
      <c r="M292" s="6" t="s">
        <v>839</v>
      </c>
      <c r="N292" s="6"/>
      <c r="O292" s="17"/>
    </row>
    <row r="293" ht="15.75" hidden="1" customHeight="1">
      <c r="A293" s="5">
        <v>184.0</v>
      </c>
      <c r="B293" s="5">
        <v>4.0</v>
      </c>
      <c r="C293" s="6" t="s">
        <v>187</v>
      </c>
      <c r="D293" s="6" t="s">
        <v>188</v>
      </c>
      <c r="E293" s="6" t="s">
        <v>569</v>
      </c>
      <c r="F293" s="7" t="s">
        <v>842</v>
      </c>
      <c r="G293" s="7" t="s">
        <v>843</v>
      </c>
      <c r="H293" s="6" t="s">
        <v>86</v>
      </c>
      <c r="I293" s="6"/>
      <c r="J293" s="6"/>
      <c r="K293" s="6" t="s">
        <v>331</v>
      </c>
      <c r="L293" s="6" t="s">
        <v>44</v>
      </c>
      <c r="M293" s="6" t="s">
        <v>89</v>
      </c>
      <c r="N293" s="6"/>
      <c r="O293" s="17"/>
    </row>
    <row r="294" ht="15.75" hidden="1" customHeight="1">
      <c r="A294" s="5">
        <v>2.0</v>
      </c>
      <c r="B294" s="5">
        <v>1.0</v>
      </c>
      <c r="C294" s="6" t="s">
        <v>82</v>
      </c>
      <c r="D294" s="6" t="s">
        <v>83</v>
      </c>
      <c r="E294" s="6" t="s">
        <v>569</v>
      </c>
      <c r="F294" s="7" t="s">
        <v>844</v>
      </c>
      <c r="G294" s="7" t="s">
        <v>845</v>
      </c>
      <c r="H294" s="6" t="s">
        <v>86</v>
      </c>
      <c r="I294" s="6"/>
      <c r="J294" s="6"/>
      <c r="K294" s="6" t="s">
        <v>331</v>
      </c>
      <c r="L294" s="6" t="s">
        <v>44</v>
      </c>
      <c r="M294" s="6" t="s">
        <v>89</v>
      </c>
      <c r="N294" s="6"/>
      <c r="O294" s="17"/>
    </row>
    <row r="295" ht="15.75" hidden="1" customHeight="1">
      <c r="A295" s="5">
        <v>344.0</v>
      </c>
      <c r="B295" s="5">
        <v>5.0</v>
      </c>
      <c r="C295" s="6" t="s">
        <v>396</v>
      </c>
      <c r="D295" s="6" t="s">
        <v>397</v>
      </c>
      <c r="E295" s="6" t="s">
        <v>569</v>
      </c>
      <c r="F295" s="7" t="s">
        <v>846</v>
      </c>
      <c r="G295" s="7" t="s">
        <v>847</v>
      </c>
      <c r="H295" s="6" t="s">
        <v>86</v>
      </c>
      <c r="I295" s="6"/>
      <c r="J295" s="6"/>
      <c r="K295" s="6" t="s">
        <v>331</v>
      </c>
      <c r="L295" s="6" t="s">
        <v>44</v>
      </c>
      <c r="M295" s="6" t="s">
        <v>50</v>
      </c>
      <c r="N295" s="6"/>
      <c r="O295" s="17"/>
    </row>
    <row r="296" ht="15.75" hidden="1" customHeight="1">
      <c r="A296" s="5">
        <v>187.0</v>
      </c>
      <c r="B296" s="5">
        <v>4.0</v>
      </c>
      <c r="C296" s="6" t="s">
        <v>187</v>
      </c>
      <c r="D296" s="6" t="s">
        <v>188</v>
      </c>
      <c r="E296" s="6" t="s">
        <v>569</v>
      </c>
      <c r="F296" s="7" t="s">
        <v>848</v>
      </c>
      <c r="G296" s="7" t="s">
        <v>849</v>
      </c>
      <c r="H296" s="6" t="s">
        <v>86</v>
      </c>
      <c r="I296" s="6"/>
      <c r="J296" s="6"/>
      <c r="K296" s="6" t="s">
        <v>331</v>
      </c>
      <c r="L296" s="6" t="s">
        <v>44</v>
      </c>
      <c r="M296" s="6" t="s">
        <v>50</v>
      </c>
      <c r="N296" s="6"/>
      <c r="O296" s="17"/>
    </row>
    <row r="297" ht="15.75" hidden="1" customHeight="1">
      <c r="A297" s="5">
        <v>370.0</v>
      </c>
      <c r="B297" s="5">
        <v>5.0</v>
      </c>
      <c r="C297" s="6" t="s">
        <v>396</v>
      </c>
      <c r="D297" s="6" t="s">
        <v>397</v>
      </c>
      <c r="E297" s="6" t="s">
        <v>569</v>
      </c>
      <c r="F297" s="7" t="s">
        <v>850</v>
      </c>
      <c r="G297" s="7" t="s">
        <v>851</v>
      </c>
      <c r="H297" s="6" t="s">
        <v>86</v>
      </c>
      <c r="I297" s="6"/>
      <c r="J297" s="6"/>
      <c r="K297" s="6" t="s">
        <v>331</v>
      </c>
      <c r="L297" s="6" t="s">
        <v>44</v>
      </c>
      <c r="M297" s="6" t="s">
        <v>839</v>
      </c>
      <c r="N297" s="6"/>
      <c r="O297" s="17"/>
    </row>
    <row r="298" ht="15.75" hidden="1" customHeight="1">
      <c r="A298" s="5">
        <v>185.0</v>
      </c>
      <c r="B298" s="5">
        <v>4.0</v>
      </c>
      <c r="C298" s="6" t="s">
        <v>187</v>
      </c>
      <c r="D298" s="6" t="s">
        <v>188</v>
      </c>
      <c r="E298" s="6" t="s">
        <v>569</v>
      </c>
      <c r="F298" s="7" t="s">
        <v>852</v>
      </c>
      <c r="G298" s="7" t="s">
        <v>853</v>
      </c>
      <c r="H298" s="6" t="s">
        <v>86</v>
      </c>
      <c r="I298" s="6"/>
      <c r="J298" s="6"/>
      <c r="K298" s="6" t="s">
        <v>331</v>
      </c>
      <c r="L298" s="6" t="s">
        <v>44</v>
      </c>
      <c r="M298" s="6" t="s">
        <v>839</v>
      </c>
      <c r="N298" s="6"/>
      <c r="O298" s="17"/>
    </row>
    <row r="299" ht="15.75" hidden="1" customHeight="1">
      <c r="A299" s="5">
        <v>638.0</v>
      </c>
      <c r="B299" s="5">
        <v>6.0</v>
      </c>
      <c r="C299" s="6" t="s">
        <v>15</v>
      </c>
      <c r="D299" s="6" t="s">
        <v>16</v>
      </c>
      <c r="E299" s="6" t="s">
        <v>569</v>
      </c>
      <c r="F299" s="7" t="s">
        <v>854</v>
      </c>
      <c r="G299" s="7" t="s">
        <v>854</v>
      </c>
      <c r="H299" s="6" t="s">
        <v>714</v>
      </c>
      <c r="I299" s="6"/>
      <c r="J299" s="6"/>
      <c r="K299" s="6" t="s">
        <v>331</v>
      </c>
      <c r="L299" s="6" t="s">
        <v>44</v>
      </c>
      <c r="M299" s="6" t="s">
        <v>839</v>
      </c>
      <c r="N299" s="6"/>
      <c r="O299" s="17"/>
    </row>
    <row r="300" ht="15.75" hidden="1" customHeight="1">
      <c r="A300" s="5">
        <v>199.0</v>
      </c>
      <c r="B300" s="5">
        <v>4.0</v>
      </c>
      <c r="C300" s="6" t="s">
        <v>187</v>
      </c>
      <c r="D300" s="6" t="s">
        <v>188</v>
      </c>
      <c r="E300" s="6" t="s">
        <v>569</v>
      </c>
      <c r="F300" s="7" t="s">
        <v>855</v>
      </c>
      <c r="G300" s="7" t="s">
        <v>856</v>
      </c>
      <c r="H300" s="6" t="s">
        <v>86</v>
      </c>
      <c r="I300" s="6"/>
      <c r="J300" s="6"/>
      <c r="K300" s="6" t="s">
        <v>331</v>
      </c>
      <c r="L300" s="6" t="s">
        <v>44</v>
      </c>
      <c r="M300" s="6" t="s">
        <v>839</v>
      </c>
      <c r="N300" s="6"/>
      <c r="O300" s="17"/>
    </row>
    <row r="301" ht="15.75" hidden="1" customHeight="1">
      <c r="A301" s="5">
        <v>371.0</v>
      </c>
      <c r="B301" s="5">
        <v>5.0</v>
      </c>
      <c r="C301" s="6" t="s">
        <v>396</v>
      </c>
      <c r="D301" s="6" t="s">
        <v>397</v>
      </c>
      <c r="E301" s="6" t="s">
        <v>569</v>
      </c>
      <c r="F301" s="7" t="s">
        <v>855</v>
      </c>
      <c r="G301" s="7" t="s">
        <v>856</v>
      </c>
      <c r="H301" s="6" t="s">
        <v>86</v>
      </c>
      <c r="I301" s="6"/>
      <c r="J301" s="6"/>
      <c r="K301" s="6" t="s">
        <v>331</v>
      </c>
      <c r="L301" s="6" t="s">
        <v>44</v>
      </c>
      <c r="M301" s="6" t="s">
        <v>839</v>
      </c>
      <c r="N301" s="6"/>
      <c r="O301" s="17"/>
    </row>
    <row r="302" ht="15.75" hidden="1" customHeight="1">
      <c r="A302" s="19">
        <v>193.0</v>
      </c>
      <c r="B302" s="19">
        <v>4.0</v>
      </c>
      <c r="C302" s="20" t="s">
        <v>187</v>
      </c>
      <c r="D302" s="20" t="s">
        <v>188</v>
      </c>
      <c r="E302" s="20" t="s">
        <v>569</v>
      </c>
      <c r="F302" s="21" t="s">
        <v>857</v>
      </c>
      <c r="G302" s="21" t="s">
        <v>858</v>
      </c>
      <c r="H302" s="20" t="s">
        <v>86</v>
      </c>
      <c r="I302" s="20"/>
      <c r="J302" s="20"/>
      <c r="K302" s="20" t="s">
        <v>331</v>
      </c>
      <c r="L302" s="20" t="s">
        <v>859</v>
      </c>
      <c r="M302" s="20"/>
      <c r="N302" s="20"/>
      <c r="O302" s="17"/>
    </row>
    <row r="303" ht="15.75" hidden="1" customHeight="1">
      <c r="A303" s="5">
        <v>104.0</v>
      </c>
      <c r="B303" s="5">
        <v>2.0</v>
      </c>
      <c r="C303" s="6" t="s">
        <v>124</v>
      </c>
      <c r="D303" s="6" t="s">
        <v>125</v>
      </c>
      <c r="E303" s="6" t="s">
        <v>569</v>
      </c>
      <c r="F303" s="7" t="s">
        <v>860</v>
      </c>
      <c r="G303" s="7" t="s">
        <v>861</v>
      </c>
      <c r="H303" s="6" t="s">
        <v>96</v>
      </c>
      <c r="I303" s="6"/>
      <c r="J303" s="6"/>
      <c r="K303" s="6" t="s">
        <v>331</v>
      </c>
      <c r="L303" s="6"/>
      <c r="M303" s="6"/>
      <c r="N303" s="6"/>
      <c r="O303" s="17"/>
    </row>
    <row r="304" ht="15.75" hidden="1" customHeight="1">
      <c r="A304" s="5">
        <v>105.0</v>
      </c>
      <c r="B304" s="5">
        <v>2.0</v>
      </c>
      <c r="C304" s="6" t="s">
        <v>124</v>
      </c>
      <c r="D304" s="6" t="s">
        <v>125</v>
      </c>
      <c r="E304" s="6" t="s">
        <v>569</v>
      </c>
      <c r="F304" s="7" t="s">
        <v>860</v>
      </c>
      <c r="G304" s="7" t="s">
        <v>861</v>
      </c>
      <c r="H304" s="6" t="s">
        <v>96</v>
      </c>
      <c r="I304" s="6"/>
      <c r="J304" s="6"/>
      <c r="K304" s="6" t="s">
        <v>331</v>
      </c>
      <c r="L304" s="6"/>
      <c r="M304" s="6"/>
      <c r="N304" s="6"/>
      <c r="O304" s="17"/>
    </row>
    <row r="305" ht="15.75" hidden="1" customHeight="1">
      <c r="A305" s="5">
        <v>106.0</v>
      </c>
      <c r="B305" s="5">
        <v>2.0</v>
      </c>
      <c r="C305" s="6" t="s">
        <v>124</v>
      </c>
      <c r="D305" s="6" t="s">
        <v>125</v>
      </c>
      <c r="E305" s="6" t="s">
        <v>569</v>
      </c>
      <c r="F305" s="7" t="s">
        <v>860</v>
      </c>
      <c r="G305" s="7" t="s">
        <v>861</v>
      </c>
      <c r="H305" s="6" t="s">
        <v>96</v>
      </c>
      <c r="I305" s="6"/>
      <c r="J305" s="6"/>
      <c r="K305" s="6" t="s">
        <v>331</v>
      </c>
      <c r="L305" s="6"/>
      <c r="M305" s="6"/>
      <c r="N305" s="6"/>
      <c r="O305" s="17"/>
    </row>
    <row r="306" ht="15.75" hidden="1" customHeight="1">
      <c r="A306" s="5">
        <v>103.0</v>
      </c>
      <c r="B306" s="5">
        <v>2.0</v>
      </c>
      <c r="C306" s="6" t="s">
        <v>124</v>
      </c>
      <c r="D306" s="6" t="s">
        <v>125</v>
      </c>
      <c r="E306" s="6" t="s">
        <v>569</v>
      </c>
      <c r="F306" s="7" t="s">
        <v>860</v>
      </c>
      <c r="G306" s="7" t="s">
        <v>861</v>
      </c>
      <c r="H306" s="6" t="s">
        <v>96</v>
      </c>
      <c r="I306" s="6"/>
      <c r="J306" s="6"/>
      <c r="K306" s="6" t="s">
        <v>762</v>
      </c>
      <c r="L306" s="6"/>
      <c r="M306" s="6"/>
      <c r="N306" s="6"/>
      <c r="O306" s="17"/>
    </row>
    <row r="307" ht="15.75" hidden="1" customHeight="1">
      <c r="A307" s="5">
        <v>661.0</v>
      </c>
      <c r="B307" s="5">
        <v>13.0</v>
      </c>
      <c r="C307" s="6" t="s">
        <v>573</v>
      </c>
      <c r="D307" s="6" t="s">
        <v>574</v>
      </c>
      <c r="E307" s="6" t="s">
        <v>17</v>
      </c>
      <c r="F307" s="7" t="s">
        <v>587</v>
      </c>
      <c r="G307" s="7" t="s">
        <v>862</v>
      </c>
      <c r="H307" s="6" t="s">
        <v>133</v>
      </c>
      <c r="I307" s="6"/>
      <c r="J307" s="6"/>
      <c r="K307" s="6" t="s">
        <v>157</v>
      </c>
      <c r="L307" s="10" t="s">
        <v>590</v>
      </c>
      <c r="M307" s="6"/>
      <c r="N307" s="6"/>
      <c r="O307" s="17">
        <v>0.0</v>
      </c>
    </row>
    <row r="308" ht="15.75" hidden="1" customHeight="1">
      <c r="A308" s="5">
        <v>480.0</v>
      </c>
      <c r="B308" s="5">
        <v>7.0</v>
      </c>
      <c r="C308" s="6" t="s">
        <v>538</v>
      </c>
      <c r="D308" s="6" t="s">
        <v>539</v>
      </c>
      <c r="E308" s="6" t="s">
        <v>17</v>
      </c>
      <c r="F308" s="7" t="s">
        <v>863</v>
      </c>
      <c r="G308" s="7" t="s">
        <v>863</v>
      </c>
      <c r="H308" s="6" t="s">
        <v>197</v>
      </c>
      <c r="I308" s="8" t="s">
        <v>537</v>
      </c>
      <c r="J308" s="6" t="s">
        <v>537</v>
      </c>
      <c r="K308" s="6" t="s">
        <v>313</v>
      </c>
      <c r="L308" s="6" t="s">
        <v>811</v>
      </c>
      <c r="M308" s="6"/>
      <c r="N308" s="6"/>
      <c r="O308" s="4"/>
    </row>
    <row r="309" ht="15.75" hidden="1" customHeight="1">
      <c r="A309" s="5">
        <v>753.0</v>
      </c>
      <c r="B309" s="5">
        <v>14.0</v>
      </c>
      <c r="C309" s="6" t="s">
        <v>579</v>
      </c>
      <c r="D309" s="6" t="s">
        <v>580</v>
      </c>
      <c r="E309" s="6" t="s">
        <v>17</v>
      </c>
      <c r="F309" s="7" t="s">
        <v>864</v>
      </c>
      <c r="G309" s="7" t="s">
        <v>864</v>
      </c>
      <c r="H309" s="6" t="s">
        <v>509</v>
      </c>
      <c r="I309" s="6"/>
      <c r="J309" s="6"/>
      <c r="K309" s="6" t="s">
        <v>41</v>
      </c>
      <c r="L309" s="6" t="s">
        <v>865</v>
      </c>
      <c r="M309" s="6"/>
      <c r="N309" s="6"/>
      <c r="O309" s="17">
        <v>2.0</v>
      </c>
    </row>
    <row r="310" ht="15.75" hidden="1" customHeight="1">
      <c r="A310" s="5">
        <v>151.0</v>
      </c>
      <c r="B310" s="5">
        <v>3.0</v>
      </c>
      <c r="C310" s="6" t="s">
        <v>603</v>
      </c>
      <c r="D310" s="6" t="s">
        <v>604</v>
      </c>
      <c r="E310" s="6" t="s">
        <v>17</v>
      </c>
      <c r="F310" s="7" t="s">
        <v>866</v>
      </c>
      <c r="G310" s="7" t="s">
        <v>867</v>
      </c>
      <c r="H310" s="6" t="s">
        <v>868</v>
      </c>
      <c r="I310" s="6"/>
      <c r="J310" s="6"/>
      <c r="K310" s="6" t="s">
        <v>41</v>
      </c>
      <c r="L310" s="10" t="s">
        <v>263</v>
      </c>
      <c r="M310" s="6" t="s">
        <v>869</v>
      </c>
      <c r="N310" s="6"/>
      <c r="O310" s="17">
        <v>2.0</v>
      </c>
    </row>
    <row r="311" ht="15.75" hidden="1" customHeight="1">
      <c r="A311" s="5">
        <v>477.0</v>
      </c>
      <c r="B311" s="5">
        <v>7.0</v>
      </c>
      <c r="C311" s="6" t="s">
        <v>538</v>
      </c>
      <c r="D311" s="6" t="s">
        <v>539</v>
      </c>
      <c r="E311" s="6" t="s">
        <v>17</v>
      </c>
      <c r="F311" s="7" t="s">
        <v>870</v>
      </c>
      <c r="G311" s="7" t="s">
        <v>870</v>
      </c>
      <c r="H311" s="6" t="s">
        <v>197</v>
      </c>
      <c r="I311" s="8" t="s">
        <v>537</v>
      </c>
      <c r="J311" s="6" t="s">
        <v>537</v>
      </c>
      <c r="K311" s="6" t="s">
        <v>112</v>
      </c>
      <c r="L311" s="6" t="s">
        <v>264</v>
      </c>
      <c r="M311" s="6"/>
      <c r="N311" s="6"/>
      <c r="O311" s="4"/>
    </row>
    <row r="312" ht="15.75" hidden="1" customHeight="1">
      <c r="A312" s="5">
        <v>658.0</v>
      </c>
      <c r="B312" s="5">
        <v>13.0</v>
      </c>
      <c r="C312" s="6" t="s">
        <v>573</v>
      </c>
      <c r="D312" s="6" t="s">
        <v>574</v>
      </c>
      <c r="E312" s="6" t="s">
        <v>17</v>
      </c>
      <c r="F312" s="7" t="s">
        <v>871</v>
      </c>
      <c r="G312" s="7" t="s">
        <v>872</v>
      </c>
      <c r="H312" s="6" t="s">
        <v>577</v>
      </c>
      <c r="I312" s="6"/>
      <c r="J312" s="6"/>
      <c r="K312" s="6" t="s">
        <v>157</v>
      </c>
      <c r="L312" s="10" t="s">
        <v>873</v>
      </c>
      <c r="M312" s="6" t="s">
        <v>874</v>
      </c>
      <c r="N312" s="6"/>
      <c r="O312" s="17">
        <v>0.0</v>
      </c>
    </row>
    <row r="313" ht="15.75" hidden="1" customHeight="1">
      <c r="A313" s="5">
        <v>53.0</v>
      </c>
      <c r="B313" s="5">
        <v>9.0</v>
      </c>
      <c r="C313" s="6" t="s">
        <v>598</v>
      </c>
      <c r="D313" s="6" t="s">
        <v>599</v>
      </c>
      <c r="E313" s="6" t="s">
        <v>17</v>
      </c>
      <c r="F313" s="7" t="s">
        <v>875</v>
      </c>
      <c r="G313" s="7" t="s">
        <v>875</v>
      </c>
      <c r="H313" s="6" t="s">
        <v>63</v>
      </c>
      <c r="I313" s="6"/>
      <c r="J313" s="6"/>
      <c r="K313" s="6" t="s">
        <v>26</v>
      </c>
      <c r="L313" s="9" t="s">
        <v>298</v>
      </c>
      <c r="M313" s="6" t="s">
        <v>876</v>
      </c>
      <c r="N313" s="6"/>
      <c r="O313" s="4"/>
    </row>
    <row r="314" ht="15.75" hidden="1" customHeight="1">
      <c r="A314" s="5">
        <v>83.0</v>
      </c>
      <c r="B314" s="5">
        <v>9.0</v>
      </c>
      <c r="C314" s="6" t="s">
        <v>598</v>
      </c>
      <c r="D314" s="6" t="s">
        <v>599</v>
      </c>
      <c r="E314" s="6" t="s">
        <v>17</v>
      </c>
      <c r="F314" s="7" t="s">
        <v>877</v>
      </c>
      <c r="G314" s="7" t="s">
        <v>878</v>
      </c>
      <c r="H314" s="6" t="s">
        <v>62</v>
      </c>
      <c r="I314" s="6"/>
      <c r="J314" s="6"/>
      <c r="K314" s="6" t="s">
        <v>81</v>
      </c>
      <c r="L314" s="6" t="s">
        <v>62</v>
      </c>
      <c r="M314" s="6" t="s">
        <v>879</v>
      </c>
      <c r="N314" s="6"/>
      <c r="O314" s="4"/>
    </row>
    <row r="315" ht="15.75" hidden="1" customHeight="1">
      <c r="A315" s="5">
        <v>84.0</v>
      </c>
      <c r="B315" s="5">
        <v>9.0</v>
      </c>
      <c r="C315" s="6" t="s">
        <v>598</v>
      </c>
      <c r="D315" s="6" t="s">
        <v>599</v>
      </c>
      <c r="E315" s="6" t="s">
        <v>17</v>
      </c>
      <c r="F315" s="7" t="s">
        <v>880</v>
      </c>
      <c r="G315" s="7" t="s">
        <v>880</v>
      </c>
      <c r="H315" s="6" t="s">
        <v>62</v>
      </c>
      <c r="I315" s="6"/>
      <c r="J315" s="6"/>
      <c r="K315" s="6" t="s">
        <v>81</v>
      </c>
      <c r="L315" s="6" t="s">
        <v>62</v>
      </c>
      <c r="M315" s="6" t="s">
        <v>879</v>
      </c>
      <c r="N315" s="6"/>
      <c r="O315" s="4"/>
    </row>
    <row r="316" ht="15.75" hidden="1" customHeight="1">
      <c r="A316" s="5">
        <v>605.0</v>
      </c>
      <c r="B316" s="5">
        <v>9.0</v>
      </c>
      <c r="C316" s="6" t="s">
        <v>598</v>
      </c>
      <c r="D316" s="6" t="s">
        <v>599</v>
      </c>
      <c r="E316" s="6" t="s">
        <v>17</v>
      </c>
      <c r="F316" s="7" t="s">
        <v>881</v>
      </c>
      <c r="G316" s="7" t="s">
        <v>881</v>
      </c>
      <c r="H316" s="6" t="s">
        <v>62</v>
      </c>
      <c r="I316" s="6"/>
      <c r="J316" s="6"/>
      <c r="K316" s="6" t="s">
        <v>81</v>
      </c>
      <c r="L316" s="9" t="s">
        <v>62</v>
      </c>
      <c r="M316" s="10" t="s">
        <v>882</v>
      </c>
      <c r="N316" s="6"/>
      <c r="O316" s="4"/>
    </row>
    <row r="317" ht="15.75" hidden="1" customHeight="1">
      <c r="A317" s="5">
        <v>73.0</v>
      </c>
      <c r="B317" s="5">
        <v>9.0</v>
      </c>
      <c r="C317" s="6" t="s">
        <v>598</v>
      </c>
      <c r="D317" s="6" t="s">
        <v>599</v>
      </c>
      <c r="E317" s="6" t="s">
        <v>17</v>
      </c>
      <c r="F317" s="7" t="s">
        <v>883</v>
      </c>
      <c r="G317" s="7" t="s">
        <v>883</v>
      </c>
      <c r="H317" s="6" t="s">
        <v>526</v>
      </c>
      <c r="I317" s="6"/>
      <c r="J317" s="6"/>
      <c r="K317" s="6" t="s">
        <v>112</v>
      </c>
      <c r="L317" s="9" t="s">
        <v>62</v>
      </c>
      <c r="M317" s="6" t="s">
        <v>884</v>
      </c>
      <c r="N317" s="6"/>
      <c r="O317" s="4"/>
    </row>
    <row r="318" ht="15.75" hidden="1" customHeight="1">
      <c r="A318" s="5">
        <v>797.0</v>
      </c>
      <c r="B318" s="5">
        <v>14.0</v>
      </c>
      <c r="C318" s="6" t="s">
        <v>579</v>
      </c>
      <c r="D318" s="6" t="s">
        <v>580</v>
      </c>
      <c r="E318" s="6" t="s">
        <v>17</v>
      </c>
      <c r="F318" s="7" t="s">
        <v>885</v>
      </c>
      <c r="G318" s="7" t="s">
        <v>885</v>
      </c>
      <c r="H318" s="6" t="s">
        <v>19</v>
      </c>
      <c r="I318" s="6"/>
      <c r="J318" s="6"/>
      <c r="K318" s="6" t="s">
        <v>26</v>
      </c>
      <c r="L318" s="6" t="s">
        <v>22</v>
      </c>
      <c r="M318" s="6" t="s">
        <v>210</v>
      </c>
      <c r="N318" s="6"/>
      <c r="O318" s="4"/>
    </row>
    <row r="319" ht="15.75" hidden="1" customHeight="1">
      <c r="A319" s="5">
        <v>689.0</v>
      </c>
      <c r="B319" s="5">
        <v>14.0</v>
      </c>
      <c r="C319" s="6" t="s">
        <v>579</v>
      </c>
      <c r="D319" s="6" t="s">
        <v>580</v>
      </c>
      <c r="E319" s="6" t="s">
        <v>17</v>
      </c>
      <c r="F319" s="7" t="s">
        <v>886</v>
      </c>
      <c r="G319" s="7" t="s">
        <v>886</v>
      </c>
      <c r="H319" s="6" t="s">
        <v>19</v>
      </c>
      <c r="I319" s="6"/>
      <c r="J319" s="6"/>
      <c r="K319" s="6" t="s">
        <v>26</v>
      </c>
      <c r="L319" s="6" t="s">
        <v>22</v>
      </c>
      <c r="M319" s="6" t="s">
        <v>210</v>
      </c>
      <c r="N319" s="6"/>
      <c r="O319" s="4"/>
    </row>
    <row r="320" ht="15.75" hidden="1" customHeight="1">
      <c r="A320" s="5">
        <v>330.0</v>
      </c>
      <c r="B320" s="5">
        <v>11.0</v>
      </c>
      <c r="C320" s="6" t="s">
        <v>609</v>
      </c>
      <c r="D320" s="6" t="s">
        <v>610</v>
      </c>
      <c r="E320" s="6" t="s">
        <v>17</v>
      </c>
      <c r="F320" s="7" t="s">
        <v>887</v>
      </c>
      <c r="G320" s="7" t="s">
        <v>887</v>
      </c>
      <c r="H320" s="6" t="s">
        <v>868</v>
      </c>
      <c r="I320" s="6"/>
      <c r="J320" s="6"/>
      <c r="K320" s="6" t="s">
        <v>130</v>
      </c>
      <c r="L320" s="6" t="s">
        <v>22</v>
      </c>
      <c r="M320" s="10" t="s">
        <v>135</v>
      </c>
      <c r="N320" s="6" t="s">
        <v>888</v>
      </c>
      <c r="O320" s="17"/>
    </row>
    <row r="321" ht="15.75" hidden="1" customHeight="1">
      <c r="A321" s="5">
        <v>663.0</v>
      </c>
      <c r="B321" s="5">
        <v>13.0</v>
      </c>
      <c r="C321" s="6" t="s">
        <v>573</v>
      </c>
      <c r="D321" s="6" t="s">
        <v>574</v>
      </c>
      <c r="E321" s="6" t="s">
        <v>17</v>
      </c>
      <c r="F321" s="7" t="s">
        <v>889</v>
      </c>
      <c r="G321" s="7" t="s">
        <v>890</v>
      </c>
      <c r="H321" s="6" t="s">
        <v>133</v>
      </c>
      <c r="I321" s="6"/>
      <c r="J321" s="6"/>
      <c r="K321" s="6" t="s">
        <v>646</v>
      </c>
      <c r="L321" s="6" t="s">
        <v>22</v>
      </c>
      <c r="M321" s="6" t="s">
        <v>135</v>
      </c>
      <c r="N321" s="6"/>
      <c r="O321" s="17"/>
    </row>
    <row r="322" ht="15.75" hidden="1" customHeight="1">
      <c r="A322" s="5">
        <v>54.0</v>
      </c>
      <c r="B322" s="5">
        <v>9.0</v>
      </c>
      <c r="C322" s="6" t="s">
        <v>598</v>
      </c>
      <c r="D322" s="6" t="s">
        <v>599</v>
      </c>
      <c r="E322" s="6" t="s">
        <v>17</v>
      </c>
      <c r="F322" s="7" t="s">
        <v>891</v>
      </c>
      <c r="G322" s="7" t="s">
        <v>891</v>
      </c>
      <c r="H322" s="6" t="s">
        <v>63</v>
      </c>
      <c r="I322" s="6"/>
      <c r="J322" s="6"/>
      <c r="K322" s="6" t="s">
        <v>26</v>
      </c>
      <c r="L322" s="9" t="s">
        <v>22</v>
      </c>
      <c r="M322" s="6" t="s">
        <v>135</v>
      </c>
      <c r="N322" s="6" t="s">
        <v>892</v>
      </c>
      <c r="O322" s="4"/>
    </row>
    <row r="323" ht="15.75" hidden="1" customHeight="1">
      <c r="A323" s="5">
        <v>48.0</v>
      </c>
      <c r="B323" s="5">
        <v>9.0</v>
      </c>
      <c r="C323" s="6" t="s">
        <v>598</v>
      </c>
      <c r="D323" s="6" t="s">
        <v>599</v>
      </c>
      <c r="E323" s="6" t="s">
        <v>17</v>
      </c>
      <c r="F323" s="7" t="s">
        <v>893</v>
      </c>
      <c r="G323" s="7" t="s">
        <v>893</v>
      </c>
      <c r="H323" s="6" t="s">
        <v>63</v>
      </c>
      <c r="I323" s="6"/>
      <c r="J323" s="6"/>
      <c r="K323" s="6" t="s">
        <v>26</v>
      </c>
      <c r="L323" s="9" t="s">
        <v>22</v>
      </c>
      <c r="M323" s="6" t="s">
        <v>135</v>
      </c>
      <c r="N323" s="6" t="s">
        <v>894</v>
      </c>
      <c r="O323" s="4"/>
    </row>
    <row r="324" ht="15.75" hidden="1" customHeight="1">
      <c r="A324" s="5">
        <v>302.0</v>
      </c>
      <c r="B324" s="5">
        <v>11.0</v>
      </c>
      <c r="C324" s="6" t="s">
        <v>609</v>
      </c>
      <c r="D324" s="6" t="s">
        <v>610</v>
      </c>
      <c r="E324" s="6" t="s">
        <v>17</v>
      </c>
      <c r="F324" s="7" t="s">
        <v>895</v>
      </c>
      <c r="G324" s="7" t="s">
        <v>895</v>
      </c>
      <c r="H324" s="6" t="s">
        <v>133</v>
      </c>
      <c r="I324" s="6"/>
      <c r="J324" s="6"/>
      <c r="K324" s="6" t="s">
        <v>130</v>
      </c>
      <c r="L324" s="9" t="s">
        <v>22</v>
      </c>
      <c r="M324" s="9" t="s">
        <v>135</v>
      </c>
      <c r="N324" s="10" t="s">
        <v>896</v>
      </c>
      <c r="O324" s="17"/>
    </row>
    <row r="325" ht="15.75" hidden="1" customHeight="1">
      <c r="A325" s="5">
        <v>79.0</v>
      </c>
      <c r="B325" s="5">
        <v>9.0</v>
      </c>
      <c r="C325" s="6" t="s">
        <v>598</v>
      </c>
      <c r="D325" s="6" t="s">
        <v>599</v>
      </c>
      <c r="E325" s="6" t="s">
        <v>17</v>
      </c>
      <c r="F325" s="7" t="s">
        <v>897</v>
      </c>
      <c r="G325" s="7" t="s">
        <v>898</v>
      </c>
      <c r="H325" s="6" t="s">
        <v>526</v>
      </c>
      <c r="I325" s="6"/>
      <c r="J325" s="6"/>
      <c r="K325" s="6" t="s">
        <v>81</v>
      </c>
      <c r="L325" s="6" t="s">
        <v>22</v>
      </c>
      <c r="M325" s="9" t="s">
        <v>899</v>
      </c>
      <c r="O325" s="17"/>
    </row>
    <row r="326" ht="15.75" hidden="1" customHeight="1">
      <c r="A326" s="5">
        <v>80.0</v>
      </c>
      <c r="B326" s="5">
        <v>9.0</v>
      </c>
      <c r="C326" s="6" t="s">
        <v>598</v>
      </c>
      <c r="D326" s="6" t="s">
        <v>599</v>
      </c>
      <c r="E326" s="6" t="s">
        <v>17</v>
      </c>
      <c r="F326" s="7" t="s">
        <v>900</v>
      </c>
      <c r="G326" s="7" t="s">
        <v>901</v>
      </c>
      <c r="H326" s="6" t="s">
        <v>526</v>
      </c>
      <c r="I326" s="6"/>
      <c r="J326" s="6"/>
      <c r="K326" s="6" t="s">
        <v>130</v>
      </c>
      <c r="L326" s="6" t="s">
        <v>22</v>
      </c>
      <c r="M326" s="9" t="s">
        <v>899</v>
      </c>
      <c r="N326" s="6"/>
      <c r="O326" s="4"/>
    </row>
    <row r="327" ht="15.75" hidden="1" customHeight="1">
      <c r="A327" s="5">
        <v>683.0</v>
      </c>
      <c r="B327" s="5">
        <v>14.0</v>
      </c>
      <c r="C327" s="6" t="s">
        <v>579</v>
      </c>
      <c r="D327" s="6" t="s">
        <v>580</v>
      </c>
      <c r="E327" s="6" t="s">
        <v>17</v>
      </c>
      <c r="F327" s="7" t="s">
        <v>902</v>
      </c>
      <c r="G327" s="7" t="s">
        <v>902</v>
      </c>
      <c r="H327" s="6" t="s">
        <v>96</v>
      </c>
      <c r="I327" s="6"/>
      <c r="J327" s="6"/>
      <c r="K327" s="6" t="s">
        <v>41</v>
      </c>
      <c r="L327" s="6" t="s">
        <v>99</v>
      </c>
      <c r="M327" s="6" t="s">
        <v>33</v>
      </c>
      <c r="N327" s="6"/>
      <c r="O327" s="17"/>
    </row>
    <row r="328" ht="15.75" hidden="1" customHeight="1">
      <c r="A328" s="5">
        <v>653.0</v>
      </c>
      <c r="B328" s="5">
        <v>13.0</v>
      </c>
      <c r="C328" s="6" t="s">
        <v>573</v>
      </c>
      <c r="D328" s="6" t="s">
        <v>574</v>
      </c>
      <c r="E328" s="6" t="s">
        <v>17</v>
      </c>
      <c r="F328" s="7" t="s">
        <v>620</v>
      </c>
      <c r="G328" s="7" t="s">
        <v>903</v>
      </c>
      <c r="H328" s="6" t="s">
        <v>577</v>
      </c>
      <c r="I328" s="6"/>
      <c r="J328" s="6"/>
      <c r="K328" s="6" t="s">
        <v>112</v>
      </c>
      <c r="L328" s="10" t="s">
        <v>168</v>
      </c>
      <c r="M328" s="6" t="s">
        <v>169</v>
      </c>
      <c r="N328" s="6"/>
      <c r="O328" s="17"/>
    </row>
    <row r="329" ht="15.75" hidden="1" customHeight="1">
      <c r="A329" s="5">
        <v>651.0</v>
      </c>
      <c r="B329" s="5">
        <v>13.0</v>
      </c>
      <c r="C329" s="6" t="s">
        <v>573</v>
      </c>
      <c r="D329" s="6" t="s">
        <v>574</v>
      </c>
      <c r="E329" s="6" t="s">
        <v>17</v>
      </c>
      <c r="F329" s="7" t="s">
        <v>904</v>
      </c>
      <c r="G329" s="7" t="s">
        <v>905</v>
      </c>
      <c r="H329" s="6" t="s">
        <v>577</v>
      </c>
      <c r="I329" s="6"/>
      <c r="J329" s="6"/>
      <c r="K329" s="6" t="s">
        <v>26</v>
      </c>
      <c r="L329" s="10" t="s">
        <v>168</v>
      </c>
      <c r="M329" s="6" t="s">
        <v>182</v>
      </c>
      <c r="N329" s="6"/>
      <c r="O329" s="17"/>
    </row>
    <row r="330" ht="15.75" hidden="1" customHeight="1">
      <c r="A330" s="5">
        <v>792.0</v>
      </c>
      <c r="B330" s="5">
        <v>14.0</v>
      </c>
      <c r="C330" s="6" t="s">
        <v>579</v>
      </c>
      <c r="D330" s="6" t="s">
        <v>580</v>
      </c>
      <c r="E330" s="6" t="s">
        <v>17</v>
      </c>
      <c r="F330" s="7" t="s">
        <v>906</v>
      </c>
      <c r="G330" s="7" t="s">
        <v>906</v>
      </c>
      <c r="H330" s="6" t="s">
        <v>907</v>
      </c>
      <c r="I330" s="6"/>
      <c r="J330" s="6"/>
      <c r="K330" s="6" t="s">
        <v>589</v>
      </c>
      <c r="L330" s="6" t="s">
        <v>608</v>
      </c>
      <c r="M330" s="6" t="s">
        <v>908</v>
      </c>
      <c r="N330" s="6"/>
      <c r="O330" s="4"/>
    </row>
    <row r="331" ht="15.75" hidden="1" customHeight="1">
      <c r="A331" s="5">
        <v>793.0</v>
      </c>
      <c r="B331" s="5">
        <v>14.0</v>
      </c>
      <c r="C331" s="6" t="s">
        <v>579</v>
      </c>
      <c r="D331" s="6" t="s">
        <v>580</v>
      </c>
      <c r="E331" s="6" t="s">
        <v>17</v>
      </c>
      <c r="F331" s="7" t="s">
        <v>909</v>
      </c>
      <c r="G331" s="7" t="s">
        <v>909</v>
      </c>
      <c r="H331" s="6" t="s">
        <v>907</v>
      </c>
      <c r="I331" s="6"/>
      <c r="J331" s="6"/>
      <c r="K331" s="6" t="s">
        <v>589</v>
      </c>
      <c r="L331" s="6" t="s">
        <v>22</v>
      </c>
      <c r="M331" s="6" t="s">
        <v>135</v>
      </c>
      <c r="N331" s="6" t="s">
        <v>526</v>
      </c>
      <c r="O331" s="4"/>
    </row>
    <row r="332" ht="15.75" hidden="1" customHeight="1">
      <c r="A332" s="5">
        <v>75.0</v>
      </c>
      <c r="B332" s="5">
        <v>9.0</v>
      </c>
      <c r="C332" s="6" t="s">
        <v>598</v>
      </c>
      <c r="D332" s="6" t="s">
        <v>599</v>
      </c>
      <c r="E332" s="6" t="s">
        <v>17</v>
      </c>
      <c r="F332" s="7" t="s">
        <v>910</v>
      </c>
      <c r="G332" s="7" t="s">
        <v>911</v>
      </c>
      <c r="H332" s="6" t="s">
        <v>526</v>
      </c>
      <c r="I332" s="6"/>
      <c r="J332" s="6"/>
      <c r="K332" s="6" t="s">
        <v>130</v>
      </c>
      <c r="L332" s="6" t="s">
        <v>608</v>
      </c>
      <c r="M332" s="6" t="s">
        <v>912</v>
      </c>
      <c r="N332" s="6"/>
      <c r="O332" s="4"/>
    </row>
    <row r="333" ht="15.75" hidden="1" customHeight="1">
      <c r="A333" s="5">
        <v>155.0</v>
      </c>
      <c r="B333" s="5">
        <v>3.0</v>
      </c>
      <c r="C333" s="6" t="s">
        <v>603</v>
      </c>
      <c r="D333" s="6" t="s">
        <v>604</v>
      </c>
      <c r="E333" s="6" t="s">
        <v>17</v>
      </c>
      <c r="F333" s="7" t="s">
        <v>913</v>
      </c>
      <c r="G333" s="7" t="s">
        <v>914</v>
      </c>
      <c r="H333" s="6" t="s">
        <v>96</v>
      </c>
      <c r="I333" s="6"/>
      <c r="J333" s="6"/>
      <c r="K333" s="6" t="s">
        <v>112</v>
      </c>
      <c r="L333" s="6" t="s">
        <v>179</v>
      </c>
      <c r="N333" s="6"/>
      <c r="O333" s="17"/>
    </row>
    <row r="334" ht="15.75" hidden="1" customHeight="1">
      <c r="A334" s="5">
        <v>596.0</v>
      </c>
      <c r="B334" s="5">
        <v>9.0</v>
      </c>
      <c r="C334" s="6" t="s">
        <v>598</v>
      </c>
      <c r="D334" s="6" t="s">
        <v>599</v>
      </c>
      <c r="E334" s="6" t="s">
        <v>17</v>
      </c>
      <c r="F334" s="7" t="s">
        <v>915</v>
      </c>
      <c r="G334" s="7" t="s">
        <v>916</v>
      </c>
      <c r="H334" s="6" t="s">
        <v>122</v>
      </c>
      <c r="I334" s="9"/>
      <c r="J334" s="9"/>
      <c r="K334" s="9" t="s">
        <v>103</v>
      </c>
      <c r="L334" s="6" t="s">
        <v>118</v>
      </c>
      <c r="M334" s="6" t="s">
        <v>119</v>
      </c>
      <c r="N334" s="6"/>
      <c r="O334" s="4"/>
    </row>
    <row r="335" ht="15.75" hidden="1" customHeight="1">
      <c r="A335" s="5">
        <v>682.0</v>
      </c>
      <c r="B335" s="5">
        <v>14.0</v>
      </c>
      <c r="C335" s="6" t="s">
        <v>579</v>
      </c>
      <c r="D335" s="6" t="s">
        <v>580</v>
      </c>
      <c r="E335" s="6" t="s">
        <v>17</v>
      </c>
      <c r="F335" s="7" t="s">
        <v>917</v>
      </c>
      <c r="G335" s="7" t="s">
        <v>917</v>
      </c>
      <c r="H335" s="6" t="s">
        <v>30</v>
      </c>
      <c r="I335" s="6"/>
      <c r="J335" s="6"/>
      <c r="K335" s="6" t="s">
        <v>308</v>
      </c>
      <c r="L335" s="9" t="s">
        <v>264</v>
      </c>
      <c r="M335" s="6" t="s">
        <v>23</v>
      </c>
      <c r="N335" s="6"/>
      <c r="O335" s="4"/>
    </row>
    <row r="336" ht="15.75" hidden="1" customHeight="1">
      <c r="A336" s="5">
        <v>78.0</v>
      </c>
      <c r="B336" s="5">
        <v>9.0</v>
      </c>
      <c r="C336" s="6" t="s">
        <v>598</v>
      </c>
      <c r="D336" s="6" t="s">
        <v>599</v>
      </c>
      <c r="E336" s="6" t="s">
        <v>17</v>
      </c>
      <c r="F336" s="7" t="s">
        <v>918</v>
      </c>
      <c r="G336" s="7" t="s">
        <v>919</v>
      </c>
      <c r="H336" s="6" t="s">
        <v>526</v>
      </c>
      <c r="I336" s="6"/>
      <c r="J336" s="6"/>
      <c r="K336" s="6" t="s">
        <v>81</v>
      </c>
      <c r="L336" s="6" t="s">
        <v>179</v>
      </c>
      <c r="N336" s="6"/>
      <c r="O336" s="4"/>
    </row>
    <row r="337" ht="15.75" hidden="1" customHeight="1">
      <c r="A337" s="5">
        <v>776.0</v>
      </c>
      <c r="B337" s="5">
        <v>14.0</v>
      </c>
      <c r="C337" s="6" t="s">
        <v>579</v>
      </c>
      <c r="D337" s="6" t="s">
        <v>580</v>
      </c>
      <c r="E337" s="6" t="s">
        <v>17</v>
      </c>
      <c r="F337" s="7" t="s">
        <v>920</v>
      </c>
      <c r="G337" s="7" t="s">
        <v>920</v>
      </c>
      <c r="H337" s="6" t="s">
        <v>110</v>
      </c>
      <c r="I337" s="6"/>
      <c r="J337" s="6"/>
      <c r="K337" s="6" t="s">
        <v>112</v>
      </c>
      <c r="L337" s="6" t="s">
        <v>735</v>
      </c>
      <c r="M337" s="6" t="s">
        <v>546</v>
      </c>
      <c r="N337" s="6" t="s">
        <v>44</v>
      </c>
      <c r="O337" s="17"/>
    </row>
    <row r="338" ht="15.75" hidden="1" customHeight="1">
      <c r="A338" s="5">
        <v>659.0</v>
      </c>
      <c r="B338" s="5">
        <v>13.0</v>
      </c>
      <c r="C338" s="6" t="s">
        <v>573</v>
      </c>
      <c r="D338" s="6" t="s">
        <v>574</v>
      </c>
      <c r="E338" s="6" t="s">
        <v>17</v>
      </c>
      <c r="F338" s="7" t="s">
        <v>921</v>
      </c>
      <c r="G338" s="7" t="s">
        <v>922</v>
      </c>
      <c r="H338" s="6" t="s">
        <v>133</v>
      </c>
      <c r="I338" s="6"/>
      <c r="J338" s="6"/>
      <c r="K338" s="6" t="s">
        <v>112</v>
      </c>
      <c r="L338" s="6" t="s">
        <v>149</v>
      </c>
      <c r="M338" s="6"/>
      <c r="N338" s="6"/>
      <c r="O338" s="17"/>
    </row>
    <row r="339" ht="15.75" hidden="1" customHeight="1">
      <c r="A339" s="5">
        <v>778.0</v>
      </c>
      <c r="B339" s="5">
        <v>14.0</v>
      </c>
      <c r="C339" s="6" t="s">
        <v>579</v>
      </c>
      <c r="D339" s="6" t="s">
        <v>580</v>
      </c>
      <c r="E339" s="6" t="s">
        <v>17</v>
      </c>
      <c r="F339" s="7" t="s">
        <v>923</v>
      </c>
      <c r="G339" s="7" t="s">
        <v>923</v>
      </c>
      <c r="H339" s="6" t="s">
        <v>110</v>
      </c>
      <c r="I339" s="6"/>
      <c r="J339" s="6"/>
      <c r="K339" s="6" t="s">
        <v>130</v>
      </c>
      <c r="L339" s="6" t="s">
        <v>269</v>
      </c>
      <c r="M339" s="6" t="s">
        <v>924</v>
      </c>
      <c r="N339" s="6"/>
      <c r="O339" s="17"/>
    </row>
    <row r="340" ht="15.75" hidden="1" customHeight="1">
      <c r="A340" s="5">
        <v>775.0</v>
      </c>
      <c r="B340" s="5">
        <v>14.0</v>
      </c>
      <c r="C340" s="6" t="s">
        <v>579</v>
      </c>
      <c r="D340" s="6" t="s">
        <v>580</v>
      </c>
      <c r="E340" s="6" t="s">
        <v>17</v>
      </c>
      <c r="F340" s="7" t="s">
        <v>925</v>
      </c>
      <c r="G340" s="7" t="s">
        <v>925</v>
      </c>
      <c r="H340" s="6" t="s">
        <v>110</v>
      </c>
      <c r="I340" s="6"/>
      <c r="J340" s="6"/>
      <c r="K340" s="6" t="s">
        <v>112</v>
      </c>
      <c r="L340" s="6" t="s">
        <v>113</v>
      </c>
      <c r="M340" s="6"/>
      <c r="N340" s="6"/>
      <c r="O340" s="17"/>
    </row>
    <row r="341" ht="15.75" hidden="1" customHeight="1">
      <c r="A341" s="5">
        <v>650.0</v>
      </c>
      <c r="B341" s="5">
        <v>13.0</v>
      </c>
      <c r="C341" s="6" t="s">
        <v>573</v>
      </c>
      <c r="D341" s="6" t="s">
        <v>574</v>
      </c>
      <c r="E341" s="6" t="s">
        <v>17</v>
      </c>
      <c r="F341" s="7" t="s">
        <v>926</v>
      </c>
      <c r="G341" s="7" t="s">
        <v>927</v>
      </c>
      <c r="H341" s="6" t="s">
        <v>618</v>
      </c>
      <c r="I341" s="6"/>
      <c r="J341" s="6"/>
      <c r="K341" s="6" t="s">
        <v>112</v>
      </c>
      <c r="L341" s="6" t="s">
        <v>113</v>
      </c>
      <c r="M341" s="6" t="s">
        <v>928</v>
      </c>
      <c r="N341" s="6" t="s">
        <v>929</v>
      </c>
      <c r="O341" s="17"/>
    </row>
    <row r="342" ht="15.75" hidden="1" customHeight="1">
      <c r="A342" s="5">
        <v>540.0</v>
      </c>
      <c r="B342" s="5">
        <v>7.0</v>
      </c>
      <c r="C342" s="6" t="s">
        <v>538</v>
      </c>
      <c r="D342" s="6" t="s">
        <v>539</v>
      </c>
      <c r="E342" s="6" t="s">
        <v>17</v>
      </c>
      <c r="F342" s="7" t="s">
        <v>930</v>
      </c>
      <c r="G342" s="7" t="s">
        <v>931</v>
      </c>
      <c r="H342" s="6" t="s">
        <v>96</v>
      </c>
      <c r="I342" s="8" t="s">
        <v>932</v>
      </c>
      <c r="J342" s="6" t="s">
        <v>932</v>
      </c>
      <c r="K342" s="6" t="s">
        <v>308</v>
      </c>
      <c r="L342" s="6" t="s">
        <v>933</v>
      </c>
      <c r="M342" s="6"/>
      <c r="N342" s="6"/>
      <c r="O342" s="17"/>
    </row>
    <row r="343" ht="15.75" hidden="1" customHeight="1">
      <c r="A343" s="5">
        <v>499.0</v>
      </c>
      <c r="B343" s="5">
        <v>7.0</v>
      </c>
      <c r="C343" s="6" t="s">
        <v>538</v>
      </c>
      <c r="D343" s="6" t="s">
        <v>539</v>
      </c>
      <c r="E343" s="6" t="s">
        <v>17</v>
      </c>
      <c r="F343" s="7" t="s">
        <v>934</v>
      </c>
      <c r="G343" s="7" t="s">
        <v>935</v>
      </c>
      <c r="H343" s="6" t="s">
        <v>110</v>
      </c>
      <c r="I343" s="8" t="s">
        <v>395</v>
      </c>
      <c r="J343" s="6" t="s">
        <v>395</v>
      </c>
      <c r="K343" s="6" t="s">
        <v>313</v>
      </c>
      <c r="L343" s="6" t="s">
        <v>936</v>
      </c>
      <c r="M343" s="6" t="s">
        <v>937</v>
      </c>
      <c r="N343" s="6"/>
      <c r="O343" s="17"/>
    </row>
    <row r="344" ht="15.75" hidden="1" customHeight="1">
      <c r="A344" s="5">
        <v>773.0</v>
      </c>
      <c r="B344" s="5">
        <v>14.0</v>
      </c>
      <c r="C344" s="6" t="s">
        <v>579</v>
      </c>
      <c r="D344" s="6" t="s">
        <v>580</v>
      </c>
      <c r="E344" s="6" t="s">
        <v>17</v>
      </c>
      <c r="F344" s="7" t="s">
        <v>938</v>
      </c>
      <c r="G344" s="7" t="s">
        <v>938</v>
      </c>
      <c r="H344" s="6" t="s">
        <v>939</v>
      </c>
      <c r="I344" s="6"/>
      <c r="J344" s="6"/>
      <c r="K344" s="6" t="s">
        <v>112</v>
      </c>
      <c r="L344" s="6" t="s">
        <v>940</v>
      </c>
      <c r="M344" s="6" t="s">
        <v>50</v>
      </c>
      <c r="N344" s="6"/>
      <c r="O344" s="17">
        <v>2.0</v>
      </c>
    </row>
    <row r="345" ht="15.75" hidden="1" customHeight="1">
      <c r="A345" s="5">
        <v>324.0</v>
      </c>
      <c r="B345" s="5">
        <v>11.0</v>
      </c>
      <c r="C345" s="6" t="s">
        <v>609</v>
      </c>
      <c r="D345" s="6" t="s">
        <v>610</v>
      </c>
      <c r="E345" s="6" t="s">
        <v>17</v>
      </c>
      <c r="F345" s="7" t="s">
        <v>941</v>
      </c>
      <c r="G345" s="7" t="s">
        <v>941</v>
      </c>
      <c r="H345" s="6" t="s">
        <v>868</v>
      </c>
      <c r="I345" s="6"/>
      <c r="J345" s="6"/>
      <c r="K345" s="6" t="s">
        <v>26</v>
      </c>
      <c r="L345" s="6" t="s">
        <v>113</v>
      </c>
      <c r="M345" s="6" t="s">
        <v>942</v>
      </c>
      <c r="N345" s="6"/>
      <c r="O345" s="17"/>
    </row>
    <row r="346" ht="15.75" hidden="1" customHeight="1">
      <c r="A346" s="5">
        <v>783.0</v>
      </c>
      <c r="B346" s="5">
        <v>14.0</v>
      </c>
      <c r="C346" s="6" t="s">
        <v>579</v>
      </c>
      <c r="D346" s="6" t="s">
        <v>580</v>
      </c>
      <c r="E346" s="6" t="s">
        <v>17</v>
      </c>
      <c r="F346" s="7" t="s">
        <v>943</v>
      </c>
      <c r="G346" s="7" t="s">
        <v>943</v>
      </c>
      <c r="H346" s="6" t="s">
        <v>582</v>
      </c>
      <c r="I346" s="6"/>
      <c r="J346" s="6"/>
      <c r="K346" s="6" t="s">
        <v>112</v>
      </c>
      <c r="L346" s="6" t="s">
        <v>113</v>
      </c>
      <c r="M346" s="6" t="s">
        <v>839</v>
      </c>
      <c r="N346" s="6"/>
      <c r="O346" s="17"/>
    </row>
    <row r="347" ht="15.75" hidden="1" customHeight="1">
      <c r="A347" s="5">
        <v>696.0</v>
      </c>
      <c r="B347" s="5">
        <v>14.0</v>
      </c>
      <c r="C347" s="6" t="s">
        <v>579</v>
      </c>
      <c r="D347" s="6" t="s">
        <v>580</v>
      </c>
      <c r="E347" s="6" t="s">
        <v>17</v>
      </c>
      <c r="F347" s="7" t="s">
        <v>944</v>
      </c>
      <c r="G347" s="7" t="s">
        <v>944</v>
      </c>
      <c r="H347" s="6" t="s">
        <v>122</v>
      </c>
      <c r="I347" s="6"/>
      <c r="J347" s="6"/>
      <c r="K347" s="6" t="s">
        <v>81</v>
      </c>
      <c r="L347" s="6" t="s">
        <v>77</v>
      </c>
      <c r="M347" s="6"/>
      <c r="N347" s="6"/>
      <c r="O347" s="4"/>
    </row>
    <row r="348" ht="15.75" hidden="1" customHeight="1">
      <c r="A348" s="5">
        <v>695.0</v>
      </c>
      <c r="B348" s="5">
        <v>14.0</v>
      </c>
      <c r="C348" s="6" t="s">
        <v>579</v>
      </c>
      <c r="D348" s="6" t="s">
        <v>580</v>
      </c>
      <c r="E348" s="6" t="s">
        <v>17</v>
      </c>
      <c r="F348" s="7" t="s">
        <v>945</v>
      </c>
      <c r="G348" s="7" t="s">
        <v>945</v>
      </c>
      <c r="H348" s="6" t="s">
        <v>946</v>
      </c>
      <c r="I348" s="6"/>
      <c r="J348" s="6"/>
      <c r="K348" s="6" t="s">
        <v>41</v>
      </c>
      <c r="L348" s="6" t="s">
        <v>118</v>
      </c>
      <c r="M348" s="6" t="s">
        <v>316</v>
      </c>
      <c r="N348" s="6"/>
      <c r="O348" s="4"/>
    </row>
    <row r="349" ht="15.75" hidden="1" customHeight="1">
      <c r="A349" s="5">
        <v>299.0</v>
      </c>
      <c r="B349" s="5">
        <v>11.0</v>
      </c>
      <c r="C349" s="6" t="s">
        <v>609</v>
      </c>
      <c r="D349" s="6" t="s">
        <v>610</v>
      </c>
      <c r="E349" s="6" t="s">
        <v>17</v>
      </c>
      <c r="F349" s="7" t="s">
        <v>947</v>
      </c>
      <c r="G349" s="7" t="s">
        <v>947</v>
      </c>
      <c r="H349" s="6" t="s">
        <v>152</v>
      </c>
      <c r="I349" s="6"/>
      <c r="J349" s="6"/>
      <c r="K349" s="6" t="s">
        <v>130</v>
      </c>
      <c r="L349" s="6" t="s">
        <v>708</v>
      </c>
      <c r="M349" s="6" t="s">
        <v>44</v>
      </c>
      <c r="N349" s="6"/>
      <c r="O349" s="17">
        <v>0.0</v>
      </c>
    </row>
    <row r="350" ht="15.75" hidden="1" customHeight="1">
      <c r="A350" s="5">
        <v>57.0</v>
      </c>
      <c r="B350" s="5">
        <v>9.0</v>
      </c>
      <c r="C350" s="6" t="s">
        <v>598</v>
      </c>
      <c r="D350" s="6" t="s">
        <v>599</v>
      </c>
      <c r="E350" s="6" t="s">
        <v>17</v>
      </c>
      <c r="F350" s="7" t="s">
        <v>948</v>
      </c>
      <c r="G350" s="7" t="s">
        <v>948</v>
      </c>
      <c r="H350" s="6" t="s">
        <v>63</v>
      </c>
      <c r="I350" s="6"/>
      <c r="J350" s="6"/>
      <c r="K350" s="6" t="s">
        <v>81</v>
      </c>
      <c r="L350" s="6"/>
      <c r="M350" s="6"/>
      <c r="N350" s="6"/>
      <c r="O350" s="4">
        <v>2.0</v>
      </c>
    </row>
    <row r="351" ht="15.75" hidden="1" customHeight="1">
      <c r="A351" s="5">
        <v>812.0</v>
      </c>
      <c r="B351" s="5">
        <v>14.0</v>
      </c>
      <c r="C351" s="6" t="s">
        <v>579</v>
      </c>
      <c r="D351" s="6" t="s">
        <v>580</v>
      </c>
      <c r="E351" s="6" t="s">
        <v>17</v>
      </c>
      <c r="F351" s="7" t="s">
        <v>949</v>
      </c>
      <c r="G351" s="7" t="s">
        <v>949</v>
      </c>
      <c r="H351" s="6" t="s">
        <v>191</v>
      </c>
      <c r="I351" s="6"/>
      <c r="J351" s="6"/>
      <c r="K351" s="6" t="s">
        <v>191</v>
      </c>
      <c r="L351" s="6" t="s">
        <v>112</v>
      </c>
      <c r="M351" s="6" t="s">
        <v>44</v>
      </c>
      <c r="O351" s="4"/>
    </row>
    <row r="352" ht="15.75" hidden="1" customHeight="1">
      <c r="A352" s="5">
        <v>579.0</v>
      </c>
      <c r="B352" s="5">
        <v>8.0</v>
      </c>
      <c r="C352" s="6" t="s">
        <v>696</v>
      </c>
      <c r="D352" s="6" t="s">
        <v>697</v>
      </c>
      <c r="E352" s="6" t="s">
        <v>17</v>
      </c>
      <c r="F352" s="7" t="s">
        <v>950</v>
      </c>
      <c r="G352" s="7" t="s">
        <v>950</v>
      </c>
      <c r="H352" s="6" t="s">
        <v>486</v>
      </c>
      <c r="I352" s="9" t="s">
        <v>951</v>
      </c>
      <c r="J352" s="9" t="s">
        <v>951</v>
      </c>
      <c r="K352" s="9" t="s">
        <v>326</v>
      </c>
      <c r="L352" s="10" t="s">
        <v>327</v>
      </c>
      <c r="M352" s="6"/>
      <c r="N352" s="6"/>
    </row>
    <row r="353" ht="15.75" hidden="1" customHeight="1">
      <c r="A353" s="5">
        <v>592.0</v>
      </c>
      <c r="B353" s="5">
        <v>8.0</v>
      </c>
      <c r="C353" s="6" t="s">
        <v>696</v>
      </c>
      <c r="D353" s="6" t="s">
        <v>697</v>
      </c>
      <c r="E353" s="6" t="s">
        <v>17</v>
      </c>
      <c r="F353" s="7" t="s">
        <v>952</v>
      </c>
      <c r="G353" s="7" t="s">
        <v>952</v>
      </c>
      <c r="H353" s="6" t="s">
        <v>19</v>
      </c>
      <c r="I353" s="6" t="s">
        <v>953</v>
      </c>
      <c r="J353" s="6" t="s">
        <v>98</v>
      </c>
      <c r="K353" s="6" t="s">
        <v>41</v>
      </c>
      <c r="L353" s="9" t="s">
        <v>351</v>
      </c>
      <c r="M353" s="6" t="s">
        <v>23</v>
      </c>
      <c r="N353" s="6"/>
      <c r="O353" s="4"/>
    </row>
    <row r="354" ht="15.75" hidden="1" customHeight="1">
      <c r="A354" s="5">
        <v>770.0</v>
      </c>
      <c r="B354" s="5">
        <v>14.0</v>
      </c>
      <c r="C354" s="6" t="s">
        <v>579</v>
      </c>
      <c r="D354" s="6" t="s">
        <v>580</v>
      </c>
      <c r="E354" s="6" t="s">
        <v>17</v>
      </c>
      <c r="F354" s="7" t="s">
        <v>954</v>
      </c>
      <c r="G354" s="7" t="s">
        <v>954</v>
      </c>
      <c r="H354" s="6" t="s">
        <v>110</v>
      </c>
      <c r="I354" s="6"/>
      <c r="J354" s="6"/>
      <c r="K354" s="6" t="s">
        <v>112</v>
      </c>
      <c r="L354" s="6" t="s">
        <v>264</v>
      </c>
      <c r="N354" s="6"/>
      <c r="O354" s="17"/>
    </row>
    <row r="355" ht="15.75" hidden="1" customHeight="1">
      <c r="A355" s="5">
        <v>242.0</v>
      </c>
      <c r="B355" s="5">
        <v>10.0</v>
      </c>
      <c r="C355" s="6" t="s">
        <v>321</v>
      </c>
      <c r="D355" s="6" t="s">
        <v>322</v>
      </c>
      <c r="E355" s="6" t="s">
        <v>569</v>
      </c>
      <c r="F355" s="7" t="s">
        <v>731</v>
      </c>
      <c r="G355" s="7" t="s">
        <v>955</v>
      </c>
      <c r="H355" s="6" t="s">
        <v>324</v>
      </c>
      <c r="I355" s="9"/>
      <c r="J355" s="9"/>
      <c r="K355" s="9" t="s">
        <v>326</v>
      </c>
      <c r="L355" s="10" t="s">
        <v>956</v>
      </c>
      <c r="M355" s="6"/>
      <c r="N355" s="6"/>
    </row>
    <row r="356" ht="15.75" hidden="1" customHeight="1">
      <c r="A356" s="5">
        <v>719.0</v>
      </c>
      <c r="B356" s="5">
        <v>14.0</v>
      </c>
      <c r="C356" s="6" t="s">
        <v>579</v>
      </c>
      <c r="D356" s="6" t="s">
        <v>580</v>
      </c>
      <c r="E356" s="6" t="s">
        <v>17</v>
      </c>
      <c r="F356" s="7" t="s">
        <v>957</v>
      </c>
      <c r="G356" s="7" t="s">
        <v>957</v>
      </c>
      <c r="H356" s="6" t="s">
        <v>110</v>
      </c>
      <c r="I356" s="6"/>
      <c r="J356" s="6"/>
      <c r="K356" s="6" t="s">
        <v>331</v>
      </c>
      <c r="L356" s="6" t="s">
        <v>264</v>
      </c>
      <c r="M356" s="6"/>
      <c r="N356" s="6"/>
      <c r="O356" s="17"/>
    </row>
    <row r="357" ht="15.75" hidden="1" customHeight="1">
      <c r="A357" s="5">
        <v>575.0</v>
      </c>
      <c r="B357" s="5">
        <v>8.0</v>
      </c>
      <c r="C357" s="6" t="s">
        <v>696</v>
      </c>
      <c r="D357" s="6" t="s">
        <v>697</v>
      </c>
      <c r="E357" s="6" t="s">
        <v>569</v>
      </c>
      <c r="F357" s="7" t="s">
        <v>958</v>
      </c>
      <c r="G357" s="7" t="s">
        <v>958</v>
      </c>
      <c r="H357" s="6" t="s">
        <v>486</v>
      </c>
      <c r="I357" s="9"/>
      <c r="J357" s="9"/>
      <c r="K357" s="9" t="s">
        <v>326</v>
      </c>
      <c r="L357" s="10" t="s">
        <v>327</v>
      </c>
      <c r="M357" s="6"/>
      <c r="N357" s="6"/>
    </row>
    <row r="358" ht="15.75" hidden="1" customHeight="1">
      <c r="A358" s="5">
        <v>721.0</v>
      </c>
      <c r="B358" s="5">
        <v>14.0</v>
      </c>
      <c r="C358" s="6" t="s">
        <v>579</v>
      </c>
      <c r="D358" s="6" t="s">
        <v>580</v>
      </c>
      <c r="E358" s="6" t="s">
        <v>17</v>
      </c>
      <c r="F358" s="7" t="s">
        <v>959</v>
      </c>
      <c r="G358" s="7" t="s">
        <v>959</v>
      </c>
      <c r="H358" s="6" t="s">
        <v>110</v>
      </c>
      <c r="I358" s="6"/>
      <c r="J358" s="6"/>
      <c r="K358" s="6" t="s">
        <v>331</v>
      </c>
      <c r="L358" s="6" t="s">
        <v>264</v>
      </c>
      <c r="M358" s="6" t="s">
        <v>459</v>
      </c>
      <c r="N358" s="6"/>
      <c r="O358" s="17"/>
    </row>
    <row r="359" ht="15.75" hidden="1" customHeight="1">
      <c r="A359" s="5">
        <v>715.0</v>
      </c>
      <c r="B359" s="5">
        <v>14.0</v>
      </c>
      <c r="C359" s="6" t="s">
        <v>579</v>
      </c>
      <c r="D359" s="6" t="s">
        <v>580</v>
      </c>
      <c r="E359" s="6" t="s">
        <v>17</v>
      </c>
      <c r="F359" s="7" t="s">
        <v>960</v>
      </c>
      <c r="G359" s="7" t="s">
        <v>960</v>
      </c>
      <c r="H359" s="6" t="s">
        <v>509</v>
      </c>
      <c r="I359" s="6"/>
      <c r="J359" s="6"/>
      <c r="K359" s="6" t="s">
        <v>103</v>
      </c>
      <c r="L359" s="6" t="s">
        <v>42</v>
      </c>
      <c r="M359" s="6" t="s">
        <v>43</v>
      </c>
      <c r="N359" s="6"/>
      <c r="O359" s="17"/>
    </row>
    <row r="360" ht="15.75" hidden="1" customHeight="1">
      <c r="A360" s="5">
        <v>780.0</v>
      </c>
      <c r="B360" s="5">
        <v>14.0</v>
      </c>
      <c r="C360" s="6" t="s">
        <v>579</v>
      </c>
      <c r="D360" s="6" t="s">
        <v>580</v>
      </c>
      <c r="E360" s="6" t="s">
        <v>17</v>
      </c>
      <c r="F360" s="7" t="s">
        <v>961</v>
      </c>
      <c r="G360" s="7" t="s">
        <v>961</v>
      </c>
      <c r="H360" s="6" t="s">
        <v>110</v>
      </c>
      <c r="I360" s="6"/>
      <c r="J360" s="6"/>
      <c r="K360" s="6" t="s">
        <v>331</v>
      </c>
      <c r="L360" s="6" t="s">
        <v>962</v>
      </c>
      <c r="M360" s="6" t="s">
        <v>89</v>
      </c>
      <c r="N360" s="6"/>
      <c r="O360" s="17"/>
    </row>
    <row r="361" ht="15.75" hidden="1" customHeight="1">
      <c r="A361" s="5">
        <v>577.0</v>
      </c>
      <c r="B361" s="5">
        <v>8.0</v>
      </c>
      <c r="C361" s="6" t="s">
        <v>696</v>
      </c>
      <c r="D361" s="6" t="s">
        <v>697</v>
      </c>
      <c r="E361" s="6" t="s">
        <v>569</v>
      </c>
      <c r="F361" s="7" t="s">
        <v>963</v>
      </c>
      <c r="G361" s="7" t="s">
        <v>964</v>
      </c>
      <c r="H361" s="6" t="s">
        <v>486</v>
      </c>
      <c r="I361" s="9"/>
      <c r="J361" s="9"/>
      <c r="K361" s="9" t="s">
        <v>326</v>
      </c>
      <c r="L361" s="10" t="s">
        <v>327</v>
      </c>
      <c r="M361" s="6"/>
      <c r="N361" s="6"/>
    </row>
    <row r="362" ht="15.75" hidden="1" customHeight="1">
      <c r="A362" s="5">
        <v>800.0</v>
      </c>
      <c r="B362" s="5">
        <v>14.0</v>
      </c>
      <c r="C362" s="6" t="s">
        <v>579</v>
      </c>
      <c r="D362" s="6" t="s">
        <v>580</v>
      </c>
      <c r="E362" s="6" t="s">
        <v>17</v>
      </c>
      <c r="F362" s="7" t="s">
        <v>965</v>
      </c>
      <c r="G362" s="7" t="s">
        <v>965</v>
      </c>
      <c r="H362" s="6" t="s">
        <v>86</v>
      </c>
      <c r="I362" s="6"/>
      <c r="J362" s="6"/>
      <c r="K362" s="6" t="s">
        <v>304</v>
      </c>
      <c r="L362" s="9" t="s">
        <v>966</v>
      </c>
      <c r="M362" s="6" t="s">
        <v>805</v>
      </c>
      <c r="N362" s="6"/>
      <c r="O362" s="17"/>
    </row>
    <row r="363" ht="15.75" hidden="1" customHeight="1">
      <c r="A363" s="5">
        <v>815.0</v>
      </c>
      <c r="B363" s="5">
        <v>14.0</v>
      </c>
      <c r="C363" s="6" t="s">
        <v>579</v>
      </c>
      <c r="D363" s="6" t="s">
        <v>580</v>
      </c>
      <c r="E363" s="6" t="s">
        <v>17</v>
      </c>
      <c r="F363" s="7" t="s">
        <v>967</v>
      </c>
      <c r="G363" s="7" t="s">
        <v>967</v>
      </c>
      <c r="H363" s="6" t="s">
        <v>939</v>
      </c>
      <c r="I363" s="6"/>
      <c r="J363" s="6"/>
      <c r="K363" s="6" t="s">
        <v>331</v>
      </c>
      <c r="L363" s="6" t="s">
        <v>968</v>
      </c>
      <c r="M363" s="6" t="s">
        <v>937</v>
      </c>
      <c r="N363" s="6"/>
      <c r="O363" s="17"/>
    </row>
    <row r="364" ht="15.75" hidden="1" customHeight="1">
      <c r="A364" s="5">
        <v>576.0</v>
      </c>
      <c r="B364" s="5">
        <v>8.0</v>
      </c>
      <c r="C364" s="6" t="s">
        <v>696</v>
      </c>
      <c r="D364" s="6" t="s">
        <v>697</v>
      </c>
      <c r="E364" s="6" t="s">
        <v>569</v>
      </c>
      <c r="F364" s="7" t="s">
        <v>969</v>
      </c>
      <c r="G364" s="7" t="s">
        <v>969</v>
      </c>
      <c r="H364" s="6" t="s">
        <v>486</v>
      </c>
      <c r="I364" s="9"/>
      <c r="J364" s="9"/>
      <c r="K364" s="9" t="s">
        <v>326</v>
      </c>
      <c r="L364" s="10" t="s">
        <v>336</v>
      </c>
      <c r="M364" s="6"/>
      <c r="N364" s="6"/>
    </row>
    <row r="365" ht="15.75" hidden="1" customHeight="1">
      <c r="A365" s="5">
        <v>729.0</v>
      </c>
      <c r="B365" s="5">
        <v>14.0</v>
      </c>
      <c r="C365" s="6" t="s">
        <v>579</v>
      </c>
      <c r="D365" s="6" t="s">
        <v>580</v>
      </c>
      <c r="E365" s="6" t="s">
        <v>17</v>
      </c>
      <c r="F365" s="7" t="s">
        <v>970</v>
      </c>
      <c r="G365" s="7" t="s">
        <v>970</v>
      </c>
      <c r="H365" s="6" t="s">
        <v>110</v>
      </c>
      <c r="I365" s="6"/>
      <c r="J365" s="6"/>
      <c r="K365" s="6" t="s">
        <v>308</v>
      </c>
      <c r="L365" s="6" t="s">
        <v>73</v>
      </c>
      <c r="M365" s="6"/>
      <c r="N365" s="6"/>
      <c r="O365" s="17"/>
    </row>
    <row r="366" ht="15.75" hidden="1" customHeight="1">
      <c r="A366" s="5">
        <v>714.0</v>
      </c>
      <c r="B366" s="5">
        <v>14.0</v>
      </c>
      <c r="C366" s="6" t="s">
        <v>579</v>
      </c>
      <c r="D366" s="6" t="s">
        <v>580</v>
      </c>
      <c r="E366" s="6" t="s">
        <v>17</v>
      </c>
      <c r="F366" s="7" t="s">
        <v>971</v>
      </c>
      <c r="G366" s="7" t="s">
        <v>971</v>
      </c>
      <c r="H366" s="6" t="s">
        <v>939</v>
      </c>
      <c r="I366" s="6"/>
      <c r="J366" s="6"/>
      <c r="K366" s="6" t="s">
        <v>331</v>
      </c>
      <c r="L366" s="6" t="s">
        <v>972</v>
      </c>
      <c r="M366" s="6" t="s">
        <v>937</v>
      </c>
      <c r="N366" s="6"/>
      <c r="O366" s="17"/>
    </row>
    <row r="367" ht="15.75" hidden="1" customHeight="1">
      <c r="A367" s="5">
        <v>712.0</v>
      </c>
      <c r="B367" s="5">
        <v>14.0</v>
      </c>
      <c r="C367" s="6" t="s">
        <v>579</v>
      </c>
      <c r="D367" s="6" t="s">
        <v>580</v>
      </c>
      <c r="E367" s="6" t="s">
        <v>17</v>
      </c>
      <c r="F367" s="7" t="s">
        <v>973</v>
      </c>
      <c r="G367" s="7" t="s">
        <v>973</v>
      </c>
      <c r="H367" s="6" t="s">
        <v>582</v>
      </c>
      <c r="I367" s="6"/>
      <c r="J367" s="6"/>
      <c r="K367" s="6" t="s">
        <v>308</v>
      </c>
      <c r="L367" s="9" t="s">
        <v>42</v>
      </c>
      <c r="M367" s="6" t="s">
        <v>972</v>
      </c>
      <c r="N367" s="6" t="s">
        <v>169</v>
      </c>
      <c r="O367" s="17"/>
    </row>
    <row r="368" ht="15.75" hidden="1" customHeight="1">
      <c r="A368" s="5">
        <v>238.0</v>
      </c>
      <c r="B368" s="5">
        <v>10.0</v>
      </c>
      <c r="C368" s="6" t="s">
        <v>321</v>
      </c>
      <c r="D368" s="6" t="s">
        <v>322</v>
      </c>
      <c r="E368" s="6" t="s">
        <v>569</v>
      </c>
      <c r="F368" s="7" t="s">
        <v>974</v>
      </c>
      <c r="G368" s="7" t="s">
        <v>975</v>
      </c>
      <c r="H368" s="6" t="s">
        <v>324</v>
      </c>
      <c r="I368" s="6"/>
      <c r="J368" s="6"/>
      <c r="K368" s="6" t="s">
        <v>326</v>
      </c>
      <c r="L368" s="10" t="s">
        <v>976</v>
      </c>
      <c r="M368" s="6"/>
      <c r="N368" s="6"/>
      <c r="O368" s="4"/>
    </row>
    <row r="369" ht="15.75" hidden="1" customHeight="1">
      <c r="A369" s="5">
        <v>240.0</v>
      </c>
      <c r="B369" s="5">
        <v>10.0</v>
      </c>
      <c r="C369" s="6" t="s">
        <v>321</v>
      </c>
      <c r="D369" s="6" t="s">
        <v>322</v>
      </c>
      <c r="E369" s="6" t="s">
        <v>569</v>
      </c>
      <c r="F369" s="7" t="s">
        <v>712</v>
      </c>
      <c r="G369" s="7" t="s">
        <v>713</v>
      </c>
      <c r="H369" s="6" t="s">
        <v>324</v>
      </c>
      <c r="I369" s="6"/>
      <c r="J369" s="6"/>
      <c r="K369" s="6" t="s">
        <v>304</v>
      </c>
      <c r="L369" s="6" t="s">
        <v>715</v>
      </c>
      <c r="M369" s="6"/>
      <c r="N369" s="6"/>
      <c r="O369" s="4"/>
    </row>
    <row r="370" ht="15.75" hidden="1" customHeight="1">
      <c r="A370" s="5">
        <v>765.0</v>
      </c>
      <c r="B370" s="5">
        <v>14.0</v>
      </c>
      <c r="C370" s="6" t="s">
        <v>579</v>
      </c>
      <c r="D370" s="6" t="s">
        <v>580</v>
      </c>
      <c r="E370" s="6" t="s">
        <v>17</v>
      </c>
      <c r="F370" s="7" t="s">
        <v>977</v>
      </c>
      <c r="G370" s="7" t="s">
        <v>977</v>
      </c>
      <c r="H370" s="6" t="s">
        <v>582</v>
      </c>
      <c r="I370" s="6"/>
      <c r="J370" s="6"/>
      <c r="K370" s="6" t="s">
        <v>331</v>
      </c>
      <c r="L370" s="6" t="s">
        <v>972</v>
      </c>
      <c r="M370" s="6" t="s">
        <v>191</v>
      </c>
      <c r="N370" s="6"/>
      <c r="O370" s="17"/>
    </row>
    <row r="371" ht="15.75" hidden="1" customHeight="1">
      <c r="A371" s="5">
        <v>593.0</v>
      </c>
      <c r="B371" s="5">
        <v>8.0</v>
      </c>
      <c r="C371" s="6" t="s">
        <v>696</v>
      </c>
      <c r="D371" s="6" t="s">
        <v>697</v>
      </c>
      <c r="E371" s="6" t="s">
        <v>17</v>
      </c>
      <c r="F371" s="7" t="s">
        <v>978</v>
      </c>
      <c r="G371" s="7" t="s">
        <v>978</v>
      </c>
      <c r="H371" s="6" t="s">
        <v>19</v>
      </c>
      <c r="I371" s="6" t="s">
        <v>354</v>
      </c>
      <c r="J371" s="6" t="s">
        <v>354</v>
      </c>
      <c r="K371" s="6" t="s">
        <v>41</v>
      </c>
      <c r="L371" s="9" t="s">
        <v>351</v>
      </c>
      <c r="M371" s="6" t="s">
        <v>355</v>
      </c>
      <c r="N371" s="6"/>
      <c r="O371" s="4"/>
    </row>
    <row r="372" ht="15.75" hidden="1" customHeight="1">
      <c r="A372" s="5">
        <v>578.0</v>
      </c>
      <c r="B372" s="5">
        <v>8.0</v>
      </c>
      <c r="C372" s="6" t="s">
        <v>696</v>
      </c>
      <c r="D372" s="6" t="s">
        <v>697</v>
      </c>
      <c r="E372" s="6" t="s">
        <v>17</v>
      </c>
      <c r="F372" s="7" t="s">
        <v>979</v>
      </c>
      <c r="G372" s="7" t="s">
        <v>979</v>
      </c>
      <c r="H372" s="6" t="s">
        <v>486</v>
      </c>
      <c r="I372" s="9" t="s">
        <v>980</v>
      </c>
      <c r="J372" s="9" t="s">
        <v>980</v>
      </c>
      <c r="K372" s="9" t="s">
        <v>326</v>
      </c>
      <c r="L372" s="10" t="s">
        <v>327</v>
      </c>
      <c r="M372" s="6"/>
      <c r="N372" s="6"/>
    </row>
    <row r="373" ht="15.75" hidden="1" customHeight="1">
      <c r="A373" s="5">
        <v>491.0</v>
      </c>
      <c r="B373" s="5">
        <v>7.0</v>
      </c>
      <c r="C373" s="6" t="s">
        <v>538</v>
      </c>
      <c r="D373" s="6" t="s">
        <v>539</v>
      </c>
      <c r="E373" s="6" t="s">
        <v>569</v>
      </c>
      <c r="F373" s="7" t="s">
        <v>981</v>
      </c>
      <c r="G373" s="7" t="s">
        <v>981</v>
      </c>
      <c r="H373" s="6" t="s">
        <v>110</v>
      </c>
      <c r="I373" s="6"/>
      <c r="J373" s="6"/>
      <c r="K373" s="6" t="s">
        <v>545</v>
      </c>
      <c r="L373" s="6" t="s">
        <v>44</v>
      </c>
      <c r="M373" s="6" t="s">
        <v>708</v>
      </c>
      <c r="N373" s="6"/>
      <c r="O373" s="17"/>
    </row>
    <row r="374" ht="15.75" hidden="1" customHeight="1">
      <c r="A374" s="5">
        <v>825.0</v>
      </c>
      <c r="B374" s="5">
        <v>14.0</v>
      </c>
      <c r="C374" s="6" t="s">
        <v>579</v>
      </c>
      <c r="D374" s="6" t="s">
        <v>580</v>
      </c>
      <c r="E374" s="6" t="s">
        <v>17</v>
      </c>
      <c r="F374" s="7" t="s">
        <v>982</v>
      </c>
      <c r="G374" s="7" t="s">
        <v>982</v>
      </c>
      <c r="H374" s="6" t="s">
        <v>86</v>
      </c>
      <c r="I374" s="6"/>
      <c r="J374" s="6"/>
      <c r="K374" s="6" t="s">
        <v>331</v>
      </c>
      <c r="L374" s="6" t="s">
        <v>972</v>
      </c>
      <c r="M374" s="6" t="s">
        <v>44</v>
      </c>
      <c r="N374" s="6" t="s">
        <v>50</v>
      </c>
      <c r="O374" s="17"/>
    </row>
    <row r="375" ht="15.75" hidden="1" customHeight="1">
      <c r="A375" s="5">
        <v>565.0</v>
      </c>
      <c r="B375" s="5">
        <v>7.0</v>
      </c>
      <c r="C375" s="6" t="s">
        <v>538</v>
      </c>
      <c r="D375" s="6" t="s">
        <v>539</v>
      </c>
      <c r="E375" s="6" t="s">
        <v>569</v>
      </c>
      <c r="F375" s="7" t="s">
        <v>983</v>
      </c>
      <c r="G375" s="7" t="s">
        <v>984</v>
      </c>
      <c r="H375" s="6" t="s">
        <v>704</v>
      </c>
      <c r="I375" s="6"/>
      <c r="J375" s="6"/>
      <c r="K375" s="6" t="s">
        <v>162</v>
      </c>
      <c r="L375" s="6" t="s">
        <v>193</v>
      </c>
      <c r="M375" s="6" t="s">
        <v>194</v>
      </c>
      <c r="N375" s="6"/>
      <c r="O375" s="4"/>
    </row>
    <row r="376" ht="15.75" hidden="1" customHeight="1">
      <c r="A376" s="5">
        <v>580.0</v>
      </c>
      <c r="B376" s="5">
        <v>8.0</v>
      </c>
      <c r="C376" s="6" t="s">
        <v>696</v>
      </c>
      <c r="D376" s="6" t="s">
        <v>697</v>
      </c>
      <c r="E376" s="6" t="s">
        <v>17</v>
      </c>
      <c r="F376" s="7" t="s">
        <v>985</v>
      </c>
      <c r="G376" s="7" t="s">
        <v>985</v>
      </c>
      <c r="H376" s="6" t="s">
        <v>486</v>
      </c>
      <c r="I376" s="9" t="s">
        <v>365</v>
      </c>
      <c r="J376" s="9" t="s">
        <v>365</v>
      </c>
      <c r="K376" s="9" t="s">
        <v>326</v>
      </c>
      <c r="L376" s="10" t="s">
        <v>336</v>
      </c>
      <c r="M376" s="6"/>
      <c r="N376" s="6"/>
    </row>
    <row r="377" ht="15.75" hidden="1" customHeight="1">
      <c r="A377" s="5">
        <v>823.0</v>
      </c>
      <c r="B377" s="5">
        <v>14.0</v>
      </c>
      <c r="C377" s="6" t="s">
        <v>579</v>
      </c>
      <c r="D377" s="6" t="s">
        <v>580</v>
      </c>
      <c r="E377" s="6" t="s">
        <v>17</v>
      </c>
      <c r="F377" s="7" t="s">
        <v>986</v>
      </c>
      <c r="G377" s="7" t="s">
        <v>986</v>
      </c>
      <c r="H377" s="6" t="s">
        <v>86</v>
      </c>
      <c r="I377" s="6"/>
      <c r="J377" s="6"/>
      <c r="K377" s="6" t="s">
        <v>331</v>
      </c>
      <c r="L377" s="6" t="s">
        <v>987</v>
      </c>
      <c r="M377" s="6" t="s">
        <v>89</v>
      </c>
      <c r="N377" s="6"/>
      <c r="O377" s="17"/>
    </row>
    <row r="378" ht="15.75" hidden="1" customHeight="1">
      <c r="A378" s="5">
        <v>818.0</v>
      </c>
      <c r="B378" s="5">
        <v>14.0</v>
      </c>
      <c r="C378" s="6" t="s">
        <v>579</v>
      </c>
      <c r="D378" s="6" t="s">
        <v>580</v>
      </c>
      <c r="E378" s="6" t="s">
        <v>17</v>
      </c>
      <c r="F378" s="7" t="s">
        <v>988</v>
      </c>
      <c r="G378" s="7" t="s">
        <v>988</v>
      </c>
      <c r="H378" s="6" t="s">
        <v>86</v>
      </c>
      <c r="I378" s="6"/>
      <c r="J378" s="6"/>
      <c r="K378" s="6" t="s">
        <v>331</v>
      </c>
      <c r="L378" s="6" t="s">
        <v>859</v>
      </c>
      <c r="M378" s="6"/>
      <c r="N378" s="6"/>
      <c r="O378" s="17"/>
    </row>
    <row r="379" ht="15.75" hidden="1" customHeight="1">
      <c r="A379" s="5">
        <v>583.0</v>
      </c>
      <c r="B379" s="5">
        <v>8.0</v>
      </c>
      <c r="C379" s="6" t="s">
        <v>696</v>
      </c>
      <c r="D379" s="6" t="s">
        <v>697</v>
      </c>
      <c r="E379" s="6" t="s">
        <v>17</v>
      </c>
      <c r="F379" s="7" t="s">
        <v>989</v>
      </c>
      <c r="G379" s="7" t="s">
        <v>989</v>
      </c>
      <c r="H379" s="6" t="s">
        <v>110</v>
      </c>
      <c r="I379" s="6" t="s">
        <v>990</v>
      </c>
      <c r="J379" s="6" t="s">
        <v>111</v>
      </c>
      <c r="K379" s="6" t="s">
        <v>162</v>
      </c>
      <c r="L379" s="6" t="s">
        <v>724</v>
      </c>
      <c r="M379" s="6" t="s">
        <v>205</v>
      </c>
      <c r="N379" s="6"/>
      <c r="O379" s="17"/>
    </row>
    <row r="380" ht="15.75" hidden="1" customHeight="1">
      <c r="A380" s="5">
        <v>56.0</v>
      </c>
      <c r="B380" s="5">
        <v>9.0</v>
      </c>
      <c r="C380" s="6" t="s">
        <v>598</v>
      </c>
      <c r="D380" s="6" t="s">
        <v>599</v>
      </c>
      <c r="E380" s="6" t="s">
        <v>17</v>
      </c>
      <c r="F380" s="7" t="s">
        <v>991</v>
      </c>
      <c r="G380" s="7" t="s">
        <v>991</v>
      </c>
      <c r="H380" s="6" t="s">
        <v>63</v>
      </c>
      <c r="I380" s="6"/>
      <c r="J380" s="6"/>
      <c r="K380" s="6" t="s">
        <v>331</v>
      </c>
      <c r="L380" s="6"/>
      <c r="M380" s="6"/>
      <c r="N380" s="6"/>
      <c r="O380" s="4"/>
    </row>
    <row r="381" ht="15.75" hidden="1" customHeight="1">
      <c r="A381" s="5">
        <v>108.0</v>
      </c>
      <c r="B381" s="5">
        <v>2.0</v>
      </c>
      <c r="C381" s="6" t="s">
        <v>124</v>
      </c>
      <c r="D381" s="6" t="s">
        <v>125</v>
      </c>
      <c r="E381" s="6" t="s">
        <v>569</v>
      </c>
      <c r="F381" s="7" t="s">
        <v>992</v>
      </c>
      <c r="G381" s="7" t="s">
        <v>993</v>
      </c>
      <c r="H381" s="6" t="s">
        <v>110</v>
      </c>
      <c r="I381" s="6"/>
      <c r="J381" s="6"/>
      <c r="K381" s="6" t="s">
        <v>545</v>
      </c>
      <c r="L381" s="6" t="s">
        <v>708</v>
      </c>
      <c r="M381" s="6" t="s">
        <v>44</v>
      </c>
      <c r="N381" s="6" t="s">
        <v>994</v>
      </c>
      <c r="O381" s="17"/>
    </row>
    <row r="382" ht="15.75" hidden="1" customHeight="1">
      <c r="A382" s="16">
        <v>594.0</v>
      </c>
      <c r="B382" s="16">
        <v>8.0</v>
      </c>
      <c r="C382" s="14" t="s">
        <v>696</v>
      </c>
      <c r="D382" s="16" t="s">
        <v>697</v>
      </c>
      <c r="E382" s="14" t="s">
        <v>17</v>
      </c>
      <c r="F382" s="13" t="s">
        <v>995</v>
      </c>
      <c r="G382" s="13" t="s">
        <v>995</v>
      </c>
      <c r="H382" s="16" t="s">
        <v>996</v>
      </c>
      <c r="I382" s="14"/>
      <c r="J382" s="9" t="s">
        <v>80</v>
      </c>
      <c r="K382" s="14" t="s">
        <v>103</v>
      </c>
      <c r="L382" s="16" t="s">
        <v>77</v>
      </c>
      <c r="M382" s="14"/>
      <c r="N382" s="14"/>
      <c r="O382" s="25"/>
      <c r="P382" s="14"/>
      <c r="Q382" s="14"/>
      <c r="R382" s="14"/>
      <c r="S382" s="14"/>
      <c r="T382" s="14"/>
      <c r="U382" s="14"/>
      <c r="V382" s="14"/>
      <c r="W382" s="14"/>
      <c r="X382" s="14"/>
      <c r="Y382" s="14"/>
      <c r="Z382" s="14"/>
    </row>
    <row r="383" ht="15.75" hidden="1" customHeight="1">
      <c r="A383" s="5">
        <v>70.0</v>
      </c>
      <c r="B383" s="5">
        <v>9.0</v>
      </c>
      <c r="C383" s="6" t="s">
        <v>598</v>
      </c>
      <c r="D383" s="6" t="s">
        <v>599</v>
      </c>
      <c r="E383" s="6" t="s">
        <v>17</v>
      </c>
      <c r="F383" s="7" t="s">
        <v>997</v>
      </c>
      <c r="G383" s="7" t="s">
        <v>997</v>
      </c>
      <c r="H383" s="6" t="s">
        <v>526</v>
      </c>
      <c r="I383" s="6"/>
      <c r="J383" s="6"/>
      <c r="K383" s="6" t="s">
        <v>762</v>
      </c>
      <c r="L383" s="6"/>
      <c r="M383" s="6"/>
      <c r="N383" s="6"/>
      <c r="O383" s="4"/>
    </row>
    <row r="384" ht="15.75" hidden="1" customHeight="1">
      <c r="A384" s="5">
        <v>584.0</v>
      </c>
      <c r="B384" s="5">
        <v>8.0</v>
      </c>
      <c r="C384" s="6" t="s">
        <v>696</v>
      </c>
      <c r="D384" s="6" t="s">
        <v>697</v>
      </c>
      <c r="E384" s="6" t="s">
        <v>17</v>
      </c>
      <c r="F384" s="7" t="s">
        <v>998</v>
      </c>
      <c r="G384" s="7" t="s">
        <v>998</v>
      </c>
      <c r="H384" s="6" t="s">
        <v>110</v>
      </c>
      <c r="I384" s="6" t="s">
        <v>999</v>
      </c>
      <c r="J384" s="6" t="s">
        <v>40</v>
      </c>
      <c r="K384" s="6" t="s">
        <v>112</v>
      </c>
      <c r="L384" s="6" t="s">
        <v>149</v>
      </c>
      <c r="M384" s="6" t="s">
        <v>695</v>
      </c>
      <c r="N384" s="6" t="s">
        <v>21</v>
      </c>
      <c r="O384" s="17"/>
    </row>
    <row r="385" ht="15.75" hidden="1" customHeight="1">
      <c r="A385" s="5">
        <v>154.0</v>
      </c>
      <c r="B385" s="5">
        <v>3.0</v>
      </c>
      <c r="C385" s="6" t="s">
        <v>603</v>
      </c>
      <c r="D385" s="6" t="s">
        <v>604</v>
      </c>
      <c r="E385" s="6" t="s">
        <v>17</v>
      </c>
      <c r="F385" s="7" t="s">
        <v>1000</v>
      </c>
      <c r="G385" s="7" t="s">
        <v>1001</v>
      </c>
      <c r="H385" s="6" t="s">
        <v>96</v>
      </c>
      <c r="I385" s="6"/>
      <c r="J385" s="6"/>
      <c r="K385" s="6" t="s">
        <v>157</v>
      </c>
      <c r="L385" s="6" t="s">
        <v>158</v>
      </c>
      <c r="M385" s="6" t="s">
        <v>23</v>
      </c>
      <c r="N385" s="6" t="s">
        <v>159</v>
      </c>
      <c r="O385" s="17"/>
    </row>
    <row r="386" ht="15.75" hidden="1" customHeight="1">
      <c r="A386" s="5">
        <v>598.0</v>
      </c>
      <c r="B386" s="5">
        <v>9.0</v>
      </c>
      <c r="C386" s="6" t="s">
        <v>598</v>
      </c>
      <c r="D386" s="6" t="s">
        <v>599</v>
      </c>
      <c r="E386" s="6" t="s">
        <v>17</v>
      </c>
      <c r="F386" s="7" t="s">
        <v>1002</v>
      </c>
      <c r="G386" s="7" t="s">
        <v>1002</v>
      </c>
      <c r="H386" s="6" t="s">
        <v>122</v>
      </c>
      <c r="I386" s="6"/>
      <c r="J386" s="6"/>
      <c r="K386" s="6" t="s">
        <v>21</v>
      </c>
      <c r="L386" s="9" t="s">
        <v>158</v>
      </c>
      <c r="M386" s="6" t="s">
        <v>179</v>
      </c>
      <c r="N386" s="6"/>
      <c r="O386" s="4"/>
    </row>
    <row r="387" ht="15.75" hidden="1" customHeight="1">
      <c r="A387" s="5">
        <v>794.0</v>
      </c>
      <c r="B387" s="5">
        <v>14.0</v>
      </c>
      <c r="C387" s="6" t="s">
        <v>579</v>
      </c>
      <c r="D387" s="6" t="s">
        <v>580</v>
      </c>
      <c r="E387" s="6" t="s">
        <v>17</v>
      </c>
      <c r="F387" s="7" t="s">
        <v>1003</v>
      </c>
      <c r="G387" s="7" t="s">
        <v>1003</v>
      </c>
      <c r="H387" s="6" t="s">
        <v>1004</v>
      </c>
      <c r="I387" s="6"/>
      <c r="J387" s="6"/>
      <c r="K387" s="6" t="s">
        <v>157</v>
      </c>
      <c r="L387" s="9" t="s">
        <v>158</v>
      </c>
      <c r="M387" s="6" t="s">
        <v>179</v>
      </c>
      <c r="N387" s="6"/>
      <c r="O387" s="4"/>
    </row>
    <row r="388" ht="15.75" hidden="1" customHeight="1">
      <c r="A388" s="5">
        <v>681.0</v>
      </c>
      <c r="B388" s="5">
        <v>13.0</v>
      </c>
      <c r="C388" s="6" t="s">
        <v>573</v>
      </c>
      <c r="D388" s="6" t="s">
        <v>574</v>
      </c>
      <c r="E388" s="6" t="s">
        <v>17</v>
      </c>
      <c r="F388" s="7" t="s">
        <v>657</v>
      </c>
      <c r="G388" s="7" t="s">
        <v>1005</v>
      </c>
      <c r="H388" s="6" t="s">
        <v>577</v>
      </c>
      <c r="I388" s="6"/>
      <c r="J388" s="6"/>
      <c r="K388" s="6" t="s">
        <v>41</v>
      </c>
      <c r="L388" s="9" t="s">
        <v>404</v>
      </c>
      <c r="M388" s="9" t="s">
        <v>1006</v>
      </c>
      <c r="N388" s="10" t="s">
        <v>659</v>
      </c>
      <c r="O388" s="17"/>
    </row>
    <row r="389" ht="15.75" hidden="1" customHeight="1">
      <c r="A389" s="5">
        <v>755.0</v>
      </c>
      <c r="B389" s="5">
        <v>14.0</v>
      </c>
      <c r="C389" s="6" t="s">
        <v>579</v>
      </c>
      <c r="D389" s="6" t="s">
        <v>580</v>
      </c>
      <c r="E389" s="6" t="s">
        <v>17</v>
      </c>
      <c r="F389" s="7" t="s">
        <v>1007</v>
      </c>
      <c r="G389" s="7" t="s">
        <v>1007</v>
      </c>
      <c r="H389" s="6" t="s">
        <v>939</v>
      </c>
      <c r="I389" s="6"/>
      <c r="J389" s="6"/>
      <c r="K389" s="6" t="s">
        <v>545</v>
      </c>
      <c r="L389" s="6" t="s">
        <v>1008</v>
      </c>
      <c r="M389" s="6" t="s">
        <v>113</v>
      </c>
      <c r="N389" s="6"/>
      <c r="O389" s="17"/>
    </row>
    <row r="390" ht="15.75" hidden="1" customHeight="1">
      <c r="A390" s="5">
        <v>769.0</v>
      </c>
      <c r="B390" s="5">
        <v>14.0</v>
      </c>
      <c r="C390" s="6" t="s">
        <v>579</v>
      </c>
      <c r="D390" s="6" t="s">
        <v>580</v>
      </c>
      <c r="E390" s="6" t="s">
        <v>17</v>
      </c>
      <c r="F390" s="7" t="s">
        <v>1009</v>
      </c>
      <c r="G390" s="7" t="s">
        <v>1009</v>
      </c>
      <c r="H390" s="6" t="s">
        <v>110</v>
      </c>
      <c r="I390" s="6"/>
      <c r="J390" s="6"/>
      <c r="K390" s="6" t="s">
        <v>41</v>
      </c>
      <c r="L390" s="6" t="s">
        <v>1010</v>
      </c>
      <c r="M390" s="6"/>
      <c r="N390" s="6"/>
      <c r="O390" s="17"/>
    </row>
    <row r="391" ht="15.75" hidden="1" customHeight="1">
      <c r="A391" s="5">
        <v>771.0</v>
      </c>
      <c r="B391" s="5">
        <v>14.0</v>
      </c>
      <c r="C391" s="6" t="s">
        <v>579</v>
      </c>
      <c r="D391" s="6" t="s">
        <v>580</v>
      </c>
      <c r="E391" s="6" t="s">
        <v>17</v>
      </c>
      <c r="F391" s="7" t="s">
        <v>1011</v>
      </c>
      <c r="G391" s="7" t="s">
        <v>1011</v>
      </c>
      <c r="H391" s="6" t="s">
        <v>509</v>
      </c>
      <c r="I391" s="6"/>
      <c r="J391" s="6"/>
      <c r="K391" s="6" t="s">
        <v>326</v>
      </c>
      <c r="L391" s="9" t="s">
        <v>21</v>
      </c>
      <c r="M391" s="6" t="s">
        <v>50</v>
      </c>
      <c r="N391" s="6"/>
      <c r="O391" s="17"/>
    </row>
    <row r="392" ht="15.75" hidden="1" customHeight="1">
      <c r="A392" s="5">
        <v>157.0</v>
      </c>
      <c r="B392" s="5">
        <v>3.0</v>
      </c>
      <c r="C392" s="6" t="s">
        <v>603</v>
      </c>
      <c r="D392" s="6" t="s">
        <v>604</v>
      </c>
      <c r="E392" s="6" t="s">
        <v>17</v>
      </c>
      <c r="F392" s="7" t="s">
        <v>1012</v>
      </c>
      <c r="G392" s="7" t="s">
        <v>1012</v>
      </c>
      <c r="H392" s="6" t="s">
        <v>96</v>
      </c>
      <c r="I392" s="6"/>
      <c r="J392" s="6"/>
      <c r="K392" s="6" t="s">
        <v>41</v>
      </c>
      <c r="L392" s="6" t="s">
        <v>49</v>
      </c>
      <c r="M392" s="6" t="s">
        <v>50</v>
      </c>
      <c r="N392" s="6"/>
      <c r="O392" s="17"/>
    </row>
    <row r="393" ht="15.75" hidden="1" customHeight="1">
      <c r="A393" s="5">
        <v>99.0</v>
      </c>
      <c r="B393" s="5">
        <v>9.0</v>
      </c>
      <c r="C393" s="6" t="s">
        <v>598</v>
      </c>
      <c r="D393" s="6" t="s">
        <v>599</v>
      </c>
      <c r="E393" s="6" t="s">
        <v>17</v>
      </c>
      <c r="F393" s="7" t="s">
        <v>1013</v>
      </c>
      <c r="G393" s="7" t="s">
        <v>1013</v>
      </c>
      <c r="H393" s="6" t="s">
        <v>110</v>
      </c>
      <c r="I393" s="6"/>
      <c r="J393" s="6"/>
      <c r="K393" s="6" t="s">
        <v>41</v>
      </c>
      <c r="L393" s="6" t="s">
        <v>49</v>
      </c>
      <c r="M393" s="6" t="s">
        <v>50</v>
      </c>
      <c r="N393" s="6"/>
      <c r="O393" s="17"/>
    </row>
    <row r="394" ht="15.75" hidden="1" customHeight="1">
      <c r="A394" s="5">
        <v>323.0</v>
      </c>
      <c r="B394" s="5">
        <v>11.0</v>
      </c>
      <c r="C394" s="6" t="s">
        <v>609</v>
      </c>
      <c r="D394" s="6" t="s">
        <v>610</v>
      </c>
      <c r="E394" s="6" t="s">
        <v>17</v>
      </c>
      <c r="F394" s="7" t="s">
        <v>1014</v>
      </c>
      <c r="G394" s="7" t="s">
        <v>1014</v>
      </c>
      <c r="H394" s="6" t="s">
        <v>868</v>
      </c>
      <c r="I394" s="6"/>
      <c r="J394" s="6"/>
      <c r="K394" s="6" t="s">
        <v>1015</v>
      </c>
      <c r="L394" s="9" t="s">
        <v>42</v>
      </c>
      <c r="M394" s="6" t="s">
        <v>43</v>
      </c>
      <c r="N394" s="10" t="s">
        <v>1016</v>
      </c>
      <c r="O394" s="17"/>
    </row>
    <row r="395" ht="15.75" hidden="1" customHeight="1">
      <c r="A395" s="5">
        <v>795.0</v>
      </c>
      <c r="B395" s="5">
        <v>14.0</v>
      </c>
      <c r="C395" s="6" t="s">
        <v>579</v>
      </c>
      <c r="D395" s="6" t="s">
        <v>580</v>
      </c>
      <c r="E395" s="6" t="s">
        <v>17</v>
      </c>
      <c r="F395" s="7" t="s">
        <v>1017</v>
      </c>
      <c r="G395" s="7" t="s">
        <v>1017</v>
      </c>
      <c r="H395" s="6" t="s">
        <v>1004</v>
      </c>
      <c r="I395" s="6"/>
      <c r="J395" s="6"/>
      <c r="K395" s="6" t="s">
        <v>157</v>
      </c>
      <c r="L395" s="9" t="s">
        <v>42</v>
      </c>
      <c r="M395" s="6" t="s">
        <v>1018</v>
      </c>
      <c r="N395" s="6" t="s">
        <v>1019</v>
      </c>
      <c r="O395" s="4"/>
    </row>
    <row r="396" ht="15.75" hidden="1" customHeight="1">
      <c r="A396" s="5">
        <v>143.0</v>
      </c>
      <c r="B396" s="5">
        <v>3.0</v>
      </c>
      <c r="C396" s="6" t="s">
        <v>603</v>
      </c>
      <c r="D396" s="6" t="s">
        <v>604</v>
      </c>
      <c r="E396" s="6" t="s">
        <v>17</v>
      </c>
      <c r="F396" s="7" t="s">
        <v>1020</v>
      </c>
      <c r="G396" s="7" t="s">
        <v>1021</v>
      </c>
      <c r="H396" s="6" t="s">
        <v>110</v>
      </c>
      <c r="I396" s="6"/>
      <c r="J396" s="6"/>
      <c r="K396" s="6" t="s">
        <v>21</v>
      </c>
      <c r="L396" s="9" t="s">
        <v>42</v>
      </c>
      <c r="M396" s="6" t="s">
        <v>43</v>
      </c>
      <c r="N396" s="6"/>
      <c r="O396" s="17"/>
    </row>
    <row r="397" ht="15.75" hidden="1" customHeight="1">
      <c r="A397" s="5">
        <v>606.0</v>
      </c>
      <c r="B397" s="5">
        <v>9.0</v>
      </c>
      <c r="C397" s="6" t="s">
        <v>598</v>
      </c>
      <c r="D397" s="6" t="s">
        <v>599</v>
      </c>
      <c r="E397" s="6" t="s">
        <v>17</v>
      </c>
      <c r="F397" s="7" t="s">
        <v>1022</v>
      </c>
      <c r="G397" s="7" t="s">
        <v>1022</v>
      </c>
      <c r="H397" s="6" t="s">
        <v>110</v>
      </c>
      <c r="I397" s="6"/>
      <c r="J397" s="6"/>
      <c r="K397" s="6" t="s">
        <v>41</v>
      </c>
      <c r="L397" s="10" t="s">
        <v>263</v>
      </c>
      <c r="M397" s="6" t="s">
        <v>264</v>
      </c>
      <c r="N397" s="6"/>
      <c r="O397" s="17"/>
    </row>
    <row r="398" ht="15.75" hidden="1" customHeight="1">
      <c r="A398" s="5">
        <v>82.0</v>
      </c>
      <c r="B398" s="5">
        <v>9.0</v>
      </c>
      <c r="C398" s="6" t="s">
        <v>598</v>
      </c>
      <c r="D398" s="6" t="s">
        <v>599</v>
      </c>
      <c r="E398" s="6" t="s">
        <v>17</v>
      </c>
      <c r="F398" s="7" t="s">
        <v>1023</v>
      </c>
      <c r="G398" s="7" t="s">
        <v>1023</v>
      </c>
      <c r="H398" s="6" t="s">
        <v>526</v>
      </c>
      <c r="I398" s="6"/>
      <c r="J398" s="6"/>
      <c r="K398" s="6" t="s">
        <v>112</v>
      </c>
      <c r="L398" s="6" t="s">
        <v>119</v>
      </c>
      <c r="M398" s="6"/>
      <c r="N398" s="6"/>
      <c r="O398" s="4"/>
    </row>
    <row r="399" ht="15.75" hidden="1" customHeight="1">
      <c r="A399" s="5">
        <v>309.0</v>
      </c>
      <c r="B399" s="5">
        <v>11.0</v>
      </c>
      <c r="C399" s="6" t="s">
        <v>609</v>
      </c>
      <c r="D399" s="6" t="s">
        <v>610</v>
      </c>
      <c r="E399" s="6" t="s">
        <v>17</v>
      </c>
      <c r="F399" s="7" t="s">
        <v>1024</v>
      </c>
      <c r="G399" s="7" t="s">
        <v>1024</v>
      </c>
      <c r="H399" s="6" t="s">
        <v>122</v>
      </c>
      <c r="I399" s="6"/>
      <c r="J399" s="6"/>
      <c r="K399" s="6" t="s">
        <v>112</v>
      </c>
      <c r="L399" s="6" t="s">
        <v>119</v>
      </c>
      <c r="M399" s="6"/>
      <c r="N399" s="6"/>
      <c r="O399" s="4"/>
    </row>
    <row r="400" ht="15.75" hidden="1" customHeight="1">
      <c r="A400" s="5">
        <v>304.0</v>
      </c>
      <c r="B400" s="5">
        <v>11.0</v>
      </c>
      <c r="C400" s="6" t="s">
        <v>609</v>
      </c>
      <c r="D400" s="6" t="s">
        <v>610</v>
      </c>
      <c r="E400" s="6" t="s">
        <v>17</v>
      </c>
      <c r="F400" s="7" t="s">
        <v>1025</v>
      </c>
      <c r="G400" s="7" t="s">
        <v>1025</v>
      </c>
      <c r="H400" s="6" t="s">
        <v>133</v>
      </c>
      <c r="I400" s="6"/>
      <c r="J400" s="6"/>
      <c r="K400" s="6" t="s">
        <v>162</v>
      </c>
      <c r="L400" s="10" t="s">
        <v>1026</v>
      </c>
      <c r="M400" s="6" t="s">
        <v>1027</v>
      </c>
      <c r="N400" s="6"/>
      <c r="O400" s="17"/>
    </row>
    <row r="401" ht="15.75" hidden="1" customHeight="1">
      <c r="A401" s="5">
        <v>716.0</v>
      </c>
      <c r="B401" s="5">
        <v>14.0</v>
      </c>
      <c r="C401" s="6" t="s">
        <v>579</v>
      </c>
      <c r="D401" s="6" t="s">
        <v>580</v>
      </c>
      <c r="E401" s="6" t="s">
        <v>17</v>
      </c>
      <c r="F401" s="7" t="s">
        <v>1028</v>
      </c>
      <c r="G401" s="7" t="s">
        <v>1028</v>
      </c>
      <c r="H401" s="6" t="s">
        <v>509</v>
      </c>
      <c r="I401" s="6"/>
      <c r="J401" s="6"/>
      <c r="K401" s="6" t="s">
        <v>41</v>
      </c>
      <c r="L401" s="10" t="s">
        <v>263</v>
      </c>
      <c r="M401" s="6" t="s">
        <v>264</v>
      </c>
      <c r="N401" s="6"/>
      <c r="O401" s="17"/>
    </row>
    <row r="402" ht="15.75" hidden="1" customHeight="1">
      <c r="A402" s="5">
        <v>723.0</v>
      </c>
      <c r="B402" s="5">
        <v>14.0</v>
      </c>
      <c r="C402" s="6" t="s">
        <v>579</v>
      </c>
      <c r="D402" s="6" t="s">
        <v>580</v>
      </c>
      <c r="E402" s="6" t="s">
        <v>17</v>
      </c>
      <c r="F402" s="7" t="s">
        <v>1029</v>
      </c>
      <c r="G402" s="7" t="s">
        <v>1029</v>
      </c>
      <c r="H402" s="6" t="s">
        <v>939</v>
      </c>
      <c r="I402" s="6"/>
      <c r="J402" s="6"/>
      <c r="K402" s="6" t="s">
        <v>1030</v>
      </c>
      <c r="L402" s="6" t="s">
        <v>73</v>
      </c>
      <c r="M402" s="6" t="s">
        <v>333</v>
      </c>
      <c r="N402" s="6"/>
      <c r="O402" s="17">
        <v>0.0</v>
      </c>
    </row>
    <row r="403" ht="15.75" hidden="1" customHeight="1">
      <c r="A403" s="5">
        <v>293.0</v>
      </c>
      <c r="B403" s="5">
        <v>11.0</v>
      </c>
      <c r="C403" s="6" t="s">
        <v>609</v>
      </c>
      <c r="D403" s="6" t="s">
        <v>610</v>
      </c>
      <c r="E403" s="6" t="s">
        <v>17</v>
      </c>
      <c r="F403" s="7" t="s">
        <v>1031</v>
      </c>
      <c r="G403" s="7" t="s">
        <v>1031</v>
      </c>
      <c r="H403" s="6" t="s">
        <v>152</v>
      </c>
      <c r="I403" s="6"/>
      <c r="J403" s="6"/>
      <c r="K403" s="6" t="s">
        <v>735</v>
      </c>
      <c r="L403" s="6" t="s">
        <v>546</v>
      </c>
      <c r="M403" s="6" t="s">
        <v>1032</v>
      </c>
      <c r="N403" s="6"/>
      <c r="O403" s="17"/>
    </row>
    <row r="404" ht="15.75" hidden="1" customHeight="1">
      <c r="A404" s="5">
        <v>640.0</v>
      </c>
      <c r="B404" s="5">
        <v>13.0</v>
      </c>
      <c r="C404" s="6" t="s">
        <v>573</v>
      </c>
      <c r="D404" s="6" t="s">
        <v>574</v>
      </c>
      <c r="E404" s="6" t="s">
        <v>569</v>
      </c>
      <c r="F404" s="7" t="s">
        <v>1033</v>
      </c>
      <c r="G404" s="7" t="s">
        <v>1033</v>
      </c>
      <c r="H404" s="6" t="s">
        <v>86</v>
      </c>
      <c r="I404" s="6"/>
      <c r="J404" s="6"/>
      <c r="K404" s="6" t="s">
        <v>88</v>
      </c>
      <c r="L404" s="6"/>
      <c r="M404" s="6"/>
      <c r="N404" s="6"/>
      <c r="O404" s="6"/>
    </row>
    <row r="405" ht="15.75" hidden="1" customHeight="1">
      <c r="A405" s="5">
        <v>641.0</v>
      </c>
      <c r="B405" s="5">
        <v>13.0</v>
      </c>
      <c r="C405" s="6" t="s">
        <v>573</v>
      </c>
      <c r="D405" s="6" t="s">
        <v>574</v>
      </c>
      <c r="E405" s="6" t="s">
        <v>569</v>
      </c>
      <c r="F405" s="7" t="s">
        <v>1033</v>
      </c>
      <c r="G405" s="7" t="s">
        <v>1033</v>
      </c>
      <c r="H405" s="6" t="s">
        <v>86</v>
      </c>
      <c r="I405" s="6"/>
      <c r="J405" s="6"/>
      <c r="K405" s="6" t="s">
        <v>88</v>
      </c>
      <c r="L405" s="6"/>
      <c r="M405" s="6"/>
      <c r="N405" s="6"/>
      <c r="O405" s="6"/>
    </row>
    <row r="406" ht="15.75" hidden="1" customHeight="1">
      <c r="A406" s="5">
        <v>642.0</v>
      </c>
      <c r="B406" s="5">
        <v>13.0</v>
      </c>
      <c r="C406" s="6" t="s">
        <v>573</v>
      </c>
      <c r="D406" s="6" t="s">
        <v>574</v>
      </c>
      <c r="E406" s="6" t="s">
        <v>569</v>
      </c>
      <c r="F406" s="7" t="s">
        <v>1033</v>
      </c>
      <c r="G406" s="7" t="s">
        <v>1033</v>
      </c>
      <c r="H406" s="6" t="s">
        <v>86</v>
      </c>
      <c r="I406" s="6"/>
      <c r="J406" s="6"/>
      <c r="K406" s="6" t="s">
        <v>88</v>
      </c>
      <c r="L406" s="6"/>
      <c r="M406" s="6"/>
      <c r="N406" s="6"/>
      <c r="O406" s="6"/>
    </row>
    <row r="407" ht="15.75" hidden="1" customHeight="1">
      <c r="A407" s="5">
        <v>643.0</v>
      </c>
      <c r="B407" s="5">
        <v>13.0</v>
      </c>
      <c r="C407" s="6" t="s">
        <v>573</v>
      </c>
      <c r="D407" s="6" t="s">
        <v>574</v>
      </c>
      <c r="E407" s="6" t="s">
        <v>569</v>
      </c>
      <c r="F407" s="7" t="s">
        <v>1033</v>
      </c>
      <c r="G407" s="7" t="s">
        <v>1033</v>
      </c>
      <c r="H407" s="6" t="s">
        <v>86</v>
      </c>
      <c r="I407" s="6"/>
      <c r="J407" s="6"/>
      <c r="K407" s="6" t="s">
        <v>88</v>
      </c>
      <c r="L407" s="6"/>
      <c r="M407" s="6"/>
      <c r="N407" s="6"/>
      <c r="O407" s="6"/>
    </row>
    <row r="408" ht="15.75" hidden="1" customHeight="1">
      <c r="A408" s="5">
        <v>644.0</v>
      </c>
      <c r="B408" s="5">
        <v>13.0</v>
      </c>
      <c r="C408" s="6" t="s">
        <v>573</v>
      </c>
      <c r="D408" s="6" t="s">
        <v>574</v>
      </c>
      <c r="E408" s="6" t="s">
        <v>569</v>
      </c>
      <c r="F408" s="7" t="s">
        <v>1033</v>
      </c>
      <c r="G408" s="7" t="s">
        <v>1033</v>
      </c>
      <c r="H408" s="6" t="s">
        <v>86</v>
      </c>
      <c r="I408" s="6"/>
      <c r="J408" s="6"/>
      <c r="K408" s="6" t="s">
        <v>88</v>
      </c>
      <c r="L408" s="6"/>
      <c r="M408" s="6"/>
      <c r="N408" s="6"/>
      <c r="O408" s="6"/>
    </row>
    <row r="409" ht="15.75" hidden="1" customHeight="1">
      <c r="A409" s="5">
        <v>566.0</v>
      </c>
      <c r="B409" s="5">
        <v>8.0</v>
      </c>
      <c r="C409" s="6" t="s">
        <v>696</v>
      </c>
      <c r="D409" s="6" t="s">
        <v>697</v>
      </c>
      <c r="E409" s="6" t="s">
        <v>569</v>
      </c>
      <c r="F409" s="7" t="s">
        <v>1034</v>
      </c>
      <c r="G409" s="7" t="s">
        <v>1035</v>
      </c>
      <c r="H409" s="6" t="s">
        <v>1036</v>
      </c>
      <c r="I409" s="6"/>
      <c r="J409" s="6"/>
      <c r="K409" s="6" t="s">
        <v>88</v>
      </c>
      <c r="L409" s="6" t="s">
        <v>1037</v>
      </c>
      <c r="N409" s="6"/>
      <c r="O409" s="6"/>
    </row>
    <row r="410" ht="15.75" hidden="1" customHeight="1">
      <c r="A410" s="5">
        <v>567.0</v>
      </c>
      <c r="B410" s="5">
        <v>8.0</v>
      </c>
      <c r="C410" s="6" t="s">
        <v>696</v>
      </c>
      <c r="D410" s="6" t="s">
        <v>697</v>
      </c>
      <c r="E410" s="6" t="s">
        <v>569</v>
      </c>
      <c r="F410" s="7" t="s">
        <v>1034</v>
      </c>
      <c r="G410" s="7" t="s">
        <v>1035</v>
      </c>
      <c r="H410" s="6" t="s">
        <v>1036</v>
      </c>
      <c r="I410" s="6"/>
      <c r="J410" s="6"/>
      <c r="K410" s="6" t="s">
        <v>88</v>
      </c>
      <c r="L410" s="6" t="s">
        <v>1037</v>
      </c>
      <c r="N410" s="6"/>
      <c r="O410" s="6"/>
    </row>
    <row r="411" ht="15.75" hidden="1" customHeight="1">
      <c r="A411" s="5">
        <v>568.0</v>
      </c>
      <c r="B411" s="5">
        <v>8.0</v>
      </c>
      <c r="C411" s="6" t="s">
        <v>696</v>
      </c>
      <c r="D411" s="6" t="s">
        <v>697</v>
      </c>
      <c r="E411" s="6" t="s">
        <v>569</v>
      </c>
      <c r="F411" s="7" t="s">
        <v>1034</v>
      </c>
      <c r="G411" s="7" t="s">
        <v>1035</v>
      </c>
      <c r="H411" s="6" t="s">
        <v>1036</v>
      </c>
      <c r="I411" s="6"/>
      <c r="J411" s="6"/>
      <c r="K411" s="6" t="s">
        <v>88</v>
      </c>
      <c r="L411" s="6" t="s">
        <v>1037</v>
      </c>
      <c r="N411" s="6"/>
      <c r="O411" s="6"/>
    </row>
    <row r="412" ht="15.75" hidden="1" customHeight="1">
      <c r="A412" s="5">
        <v>569.0</v>
      </c>
      <c r="B412" s="5">
        <v>8.0</v>
      </c>
      <c r="C412" s="6" t="s">
        <v>696</v>
      </c>
      <c r="D412" s="6" t="s">
        <v>697</v>
      </c>
      <c r="E412" s="6" t="s">
        <v>569</v>
      </c>
      <c r="F412" s="7" t="s">
        <v>1034</v>
      </c>
      <c r="G412" s="7" t="s">
        <v>1035</v>
      </c>
      <c r="H412" s="6" t="s">
        <v>1036</v>
      </c>
      <c r="I412" s="6"/>
      <c r="J412" s="6"/>
      <c r="K412" s="6" t="s">
        <v>88</v>
      </c>
      <c r="L412" s="6" t="s">
        <v>1037</v>
      </c>
      <c r="N412" s="6"/>
      <c r="O412" s="6"/>
    </row>
    <row r="413" ht="15.75" hidden="1" customHeight="1">
      <c r="A413" s="5">
        <v>405.0</v>
      </c>
      <c r="B413" s="5">
        <v>5.0</v>
      </c>
      <c r="C413" s="6" t="s">
        <v>396</v>
      </c>
      <c r="D413" s="6" t="s">
        <v>397</v>
      </c>
      <c r="E413" s="6" t="s">
        <v>569</v>
      </c>
      <c r="F413" s="7" t="s">
        <v>1038</v>
      </c>
      <c r="G413" s="7" t="s">
        <v>1039</v>
      </c>
      <c r="H413" s="6" t="s">
        <v>86</v>
      </c>
      <c r="I413" s="6"/>
      <c r="J413" s="6"/>
      <c r="K413" s="6" t="s">
        <v>88</v>
      </c>
      <c r="L413" s="6" t="s">
        <v>1040</v>
      </c>
      <c r="N413" s="6"/>
      <c r="O413" s="6"/>
    </row>
    <row r="414" ht="15.75" hidden="1" customHeight="1">
      <c r="A414" s="5">
        <v>196.0</v>
      </c>
      <c r="B414" s="5">
        <v>4.0</v>
      </c>
      <c r="C414" s="6" t="s">
        <v>187</v>
      </c>
      <c r="D414" s="6" t="s">
        <v>188</v>
      </c>
      <c r="E414" s="6" t="s">
        <v>569</v>
      </c>
      <c r="F414" s="7" t="s">
        <v>1041</v>
      </c>
      <c r="G414" s="7" t="s">
        <v>1042</v>
      </c>
      <c r="H414" s="6" t="s">
        <v>86</v>
      </c>
      <c r="I414" s="6"/>
      <c r="J414" s="6"/>
      <c r="K414" s="6" t="s">
        <v>88</v>
      </c>
      <c r="L414" s="6" t="s">
        <v>1043</v>
      </c>
      <c r="N414" s="6"/>
      <c r="O414" s="6"/>
    </row>
    <row r="415" ht="15.75" hidden="1" customHeight="1">
      <c r="A415" s="5">
        <v>736.0</v>
      </c>
      <c r="B415" s="5">
        <v>14.0</v>
      </c>
      <c r="C415" s="6" t="s">
        <v>579</v>
      </c>
      <c r="D415" s="6" t="s">
        <v>580</v>
      </c>
      <c r="E415" s="6" t="s">
        <v>17</v>
      </c>
      <c r="F415" s="7" t="s">
        <v>1044</v>
      </c>
      <c r="G415" s="7" t="s">
        <v>1044</v>
      </c>
      <c r="H415" s="6" t="s">
        <v>110</v>
      </c>
      <c r="I415" s="6"/>
      <c r="J415" s="6"/>
      <c r="K415" s="6" t="s">
        <v>308</v>
      </c>
      <c r="L415" s="6" t="s">
        <v>678</v>
      </c>
      <c r="M415" s="6"/>
      <c r="N415" s="6"/>
      <c r="O415" s="17"/>
    </row>
    <row r="416" ht="15.75" hidden="1" customHeight="1">
      <c r="A416" s="5">
        <v>135.0</v>
      </c>
      <c r="B416" s="5">
        <v>3.0</v>
      </c>
      <c r="C416" s="6" t="s">
        <v>603</v>
      </c>
      <c r="D416" s="6" t="s">
        <v>604</v>
      </c>
      <c r="E416" s="6" t="s">
        <v>569</v>
      </c>
      <c r="F416" s="7" t="s">
        <v>1045</v>
      </c>
      <c r="G416" s="7" t="s">
        <v>1046</v>
      </c>
      <c r="H416" s="6" t="s">
        <v>110</v>
      </c>
      <c r="I416" s="9"/>
      <c r="J416" s="9"/>
      <c r="K416" s="9" t="s">
        <v>1047</v>
      </c>
      <c r="L416" s="6" t="s">
        <v>53</v>
      </c>
      <c r="M416" s="6" t="s">
        <v>937</v>
      </c>
      <c r="N416" s="6"/>
      <c r="O416" s="6"/>
    </row>
    <row r="417" ht="15.75" hidden="1" customHeight="1">
      <c r="A417" s="5">
        <v>749.0</v>
      </c>
      <c r="B417" s="5">
        <v>14.0</v>
      </c>
      <c r="C417" s="6" t="s">
        <v>579</v>
      </c>
      <c r="D417" s="6" t="s">
        <v>580</v>
      </c>
      <c r="E417" s="6" t="s">
        <v>17</v>
      </c>
      <c r="F417" s="7" t="s">
        <v>1048</v>
      </c>
      <c r="G417" s="7" t="s">
        <v>1048</v>
      </c>
      <c r="H417" s="6" t="s">
        <v>110</v>
      </c>
      <c r="I417" s="6"/>
      <c r="J417" s="6"/>
      <c r="K417" s="6" t="s">
        <v>308</v>
      </c>
      <c r="L417" s="6" t="s">
        <v>678</v>
      </c>
      <c r="M417" s="6"/>
      <c r="N417" s="6"/>
      <c r="O417" s="17"/>
    </row>
    <row r="418" ht="15.75" hidden="1" customHeight="1">
      <c r="A418" s="5">
        <v>734.0</v>
      </c>
      <c r="B418" s="5">
        <v>14.0</v>
      </c>
      <c r="C418" s="6" t="s">
        <v>579</v>
      </c>
      <c r="D418" s="6" t="s">
        <v>580</v>
      </c>
      <c r="E418" s="6" t="s">
        <v>17</v>
      </c>
      <c r="F418" s="7" t="s">
        <v>1049</v>
      </c>
      <c r="G418" s="7" t="s">
        <v>1049</v>
      </c>
      <c r="H418" s="6" t="s">
        <v>110</v>
      </c>
      <c r="I418" s="6"/>
      <c r="J418" s="6"/>
      <c r="K418" s="6" t="s">
        <v>308</v>
      </c>
      <c r="L418" s="6" t="s">
        <v>389</v>
      </c>
      <c r="M418" s="6"/>
      <c r="N418" s="6"/>
      <c r="O418" s="17"/>
    </row>
    <row r="419" ht="15.75" hidden="1" customHeight="1">
      <c r="A419" s="5">
        <v>735.0</v>
      </c>
      <c r="B419" s="5">
        <v>14.0</v>
      </c>
      <c r="C419" s="6" t="s">
        <v>579</v>
      </c>
      <c r="D419" s="6" t="s">
        <v>580</v>
      </c>
      <c r="E419" s="6" t="s">
        <v>17</v>
      </c>
      <c r="F419" s="7" t="s">
        <v>1050</v>
      </c>
      <c r="G419" s="7" t="s">
        <v>1050</v>
      </c>
      <c r="H419" s="6" t="s">
        <v>110</v>
      </c>
      <c r="I419" s="6"/>
      <c r="J419" s="6"/>
      <c r="K419" s="6" t="s">
        <v>103</v>
      </c>
      <c r="L419" s="6" t="s">
        <v>678</v>
      </c>
      <c r="M419" s="6" t="s">
        <v>1051</v>
      </c>
      <c r="N419" s="6"/>
      <c r="O419" s="17"/>
    </row>
    <row r="420" ht="15.75" hidden="1" customHeight="1">
      <c r="A420" s="5">
        <v>766.0</v>
      </c>
      <c r="B420" s="5">
        <v>14.0</v>
      </c>
      <c r="C420" s="6" t="s">
        <v>579</v>
      </c>
      <c r="D420" s="6" t="s">
        <v>580</v>
      </c>
      <c r="E420" s="6" t="s">
        <v>17</v>
      </c>
      <c r="F420" s="7" t="s">
        <v>1052</v>
      </c>
      <c r="G420" s="7" t="s">
        <v>1052</v>
      </c>
      <c r="H420" s="6" t="s">
        <v>110</v>
      </c>
      <c r="I420" s="6"/>
      <c r="J420" s="6"/>
      <c r="K420" s="6" t="s">
        <v>103</v>
      </c>
      <c r="L420" s="6" t="s">
        <v>264</v>
      </c>
      <c r="M420" s="6"/>
      <c r="N420" s="6"/>
      <c r="O420" s="17"/>
    </row>
    <row r="421" ht="15.75" hidden="1" customHeight="1">
      <c r="A421" s="5">
        <v>738.0</v>
      </c>
      <c r="B421" s="5">
        <v>14.0</v>
      </c>
      <c r="C421" s="6" t="s">
        <v>579</v>
      </c>
      <c r="D421" s="6" t="s">
        <v>580</v>
      </c>
      <c r="E421" s="6" t="s">
        <v>17</v>
      </c>
      <c r="F421" s="7" t="s">
        <v>1053</v>
      </c>
      <c r="G421" s="7" t="s">
        <v>1053</v>
      </c>
      <c r="H421" s="6" t="s">
        <v>110</v>
      </c>
      <c r="I421" s="6"/>
      <c r="J421" s="6"/>
      <c r="K421" s="6" t="s">
        <v>313</v>
      </c>
      <c r="L421" s="6" t="s">
        <v>73</v>
      </c>
      <c r="M421" s="6"/>
      <c r="N421" s="6"/>
      <c r="O421" s="17"/>
    </row>
    <row r="422" ht="15.75" hidden="1" customHeight="1">
      <c r="A422" s="5">
        <v>586.0</v>
      </c>
      <c r="B422" s="5">
        <v>8.0</v>
      </c>
      <c r="C422" s="6" t="s">
        <v>696</v>
      </c>
      <c r="D422" s="6" t="s">
        <v>697</v>
      </c>
      <c r="E422" s="6" t="s">
        <v>17</v>
      </c>
      <c r="F422" s="7" t="s">
        <v>1054</v>
      </c>
      <c r="G422" s="7" t="s">
        <v>1055</v>
      </c>
      <c r="H422" s="6" t="s">
        <v>172</v>
      </c>
      <c r="I422" s="6" t="s">
        <v>1056</v>
      </c>
      <c r="J422" s="6" t="s">
        <v>1056</v>
      </c>
      <c r="K422" s="6" t="s">
        <v>112</v>
      </c>
      <c r="L422" s="6" t="s">
        <v>1057</v>
      </c>
      <c r="M422" s="10" t="s">
        <v>1058</v>
      </c>
      <c r="O422" s="17">
        <v>0.0</v>
      </c>
    </row>
    <row r="423" ht="15.75" hidden="1" customHeight="1">
      <c r="A423" s="5">
        <v>772.0</v>
      </c>
      <c r="B423" s="5">
        <v>14.0</v>
      </c>
      <c r="C423" s="6" t="s">
        <v>579</v>
      </c>
      <c r="D423" s="6" t="s">
        <v>580</v>
      </c>
      <c r="E423" s="6" t="s">
        <v>17</v>
      </c>
      <c r="F423" s="7" t="s">
        <v>1059</v>
      </c>
      <c r="G423" s="7" t="s">
        <v>1059</v>
      </c>
      <c r="H423" s="6" t="s">
        <v>939</v>
      </c>
      <c r="I423" s="6"/>
      <c r="J423" s="6"/>
      <c r="K423" s="6" t="s">
        <v>735</v>
      </c>
      <c r="L423" s="6" t="s">
        <v>1060</v>
      </c>
      <c r="M423" s="6" t="s">
        <v>304</v>
      </c>
      <c r="N423" s="6"/>
      <c r="O423" s="17">
        <v>0.0</v>
      </c>
    </row>
    <row r="424" ht="15.75" hidden="1" customHeight="1">
      <c r="A424" s="5">
        <v>764.0</v>
      </c>
      <c r="B424" s="5">
        <v>14.0</v>
      </c>
      <c r="C424" s="6" t="s">
        <v>579</v>
      </c>
      <c r="D424" s="6" t="s">
        <v>580</v>
      </c>
      <c r="E424" s="6" t="s">
        <v>17</v>
      </c>
      <c r="F424" s="7" t="s">
        <v>1061</v>
      </c>
      <c r="G424" s="7" t="s">
        <v>1061</v>
      </c>
      <c r="H424" s="6" t="s">
        <v>110</v>
      </c>
      <c r="I424" s="6"/>
      <c r="J424" s="6"/>
      <c r="K424" s="6" t="s">
        <v>103</v>
      </c>
      <c r="L424" s="6" t="s">
        <v>264</v>
      </c>
      <c r="M424" s="6"/>
      <c r="N424" s="6"/>
      <c r="O424" s="17"/>
    </row>
    <row r="425" ht="15.75" hidden="1" customHeight="1">
      <c r="A425" s="5">
        <v>648.0</v>
      </c>
      <c r="B425" s="5">
        <v>13.0</v>
      </c>
      <c r="C425" s="6" t="s">
        <v>573</v>
      </c>
      <c r="D425" s="6" t="s">
        <v>574</v>
      </c>
      <c r="E425" s="6" t="s">
        <v>17</v>
      </c>
      <c r="F425" s="7" t="s">
        <v>1062</v>
      </c>
      <c r="G425" s="7" t="s">
        <v>1063</v>
      </c>
      <c r="H425" s="6" t="s">
        <v>618</v>
      </c>
      <c r="I425" s="6"/>
      <c r="J425" s="6"/>
      <c r="K425" s="6" t="s">
        <v>41</v>
      </c>
      <c r="L425" s="6" t="s">
        <v>1064</v>
      </c>
      <c r="M425" s="6" t="s">
        <v>43</v>
      </c>
      <c r="N425" s="6"/>
      <c r="O425" s="17"/>
    </row>
    <row r="426" ht="15.75" hidden="1" customHeight="1">
      <c r="A426" s="15"/>
      <c r="B426" s="15"/>
      <c r="C426" s="15"/>
      <c r="D426" s="15"/>
      <c r="E426" s="15"/>
      <c r="F426" s="26"/>
      <c r="G426" s="26"/>
      <c r="H426" s="15"/>
      <c r="I426" s="16"/>
      <c r="J426" s="9"/>
      <c r="L426" s="15"/>
      <c r="O426" s="4"/>
    </row>
    <row r="427" ht="15.75" customHeight="1">
      <c r="A427" s="15"/>
      <c r="B427" s="15"/>
      <c r="C427" s="15"/>
      <c r="D427" s="15"/>
      <c r="E427" s="15"/>
      <c r="F427" s="26"/>
      <c r="G427" s="26"/>
      <c r="H427" s="15"/>
      <c r="I427" s="14"/>
      <c r="J427" s="9"/>
      <c r="L427" s="15"/>
      <c r="O427" s="4"/>
    </row>
    <row r="428" ht="15.75" customHeight="1">
      <c r="A428" s="15"/>
      <c r="B428" s="15"/>
      <c r="C428" s="15"/>
      <c r="D428" s="15"/>
      <c r="E428" s="15"/>
      <c r="F428" s="26"/>
      <c r="G428" s="26"/>
      <c r="H428" s="15"/>
      <c r="I428" s="14"/>
      <c r="J428" s="9"/>
      <c r="L428" s="15"/>
      <c r="O428" s="4"/>
    </row>
    <row r="429" ht="15.75" customHeight="1">
      <c r="A429" s="15"/>
      <c r="B429" s="15"/>
      <c r="C429" s="15"/>
      <c r="D429" s="15"/>
      <c r="E429" s="15"/>
      <c r="F429" s="26"/>
      <c r="G429" s="26"/>
      <c r="H429" s="15"/>
      <c r="I429" s="14"/>
      <c r="J429" s="9"/>
      <c r="L429" s="15"/>
      <c r="O429" s="4"/>
    </row>
    <row r="430" ht="15.75" customHeight="1">
      <c r="A430" s="15"/>
      <c r="B430" s="15"/>
      <c r="C430" s="15"/>
      <c r="D430" s="15"/>
      <c r="E430" s="15"/>
      <c r="F430" s="26"/>
      <c r="G430" s="26"/>
      <c r="H430" s="15"/>
      <c r="I430" s="14"/>
      <c r="J430" s="9"/>
      <c r="L430" s="15"/>
      <c r="O430" s="4"/>
    </row>
    <row r="431" ht="15.75" customHeight="1">
      <c r="A431" s="15"/>
      <c r="B431" s="15"/>
      <c r="C431" s="15"/>
      <c r="D431" s="15"/>
      <c r="E431" s="15"/>
      <c r="F431" s="26"/>
      <c r="G431" s="26"/>
      <c r="H431" s="15"/>
      <c r="I431" s="14"/>
      <c r="J431" s="9"/>
      <c r="L431" s="15"/>
      <c r="O431" s="4"/>
    </row>
    <row r="432" ht="15.75" customHeight="1">
      <c r="A432" s="15"/>
      <c r="B432" s="15"/>
      <c r="C432" s="15"/>
      <c r="D432" s="15"/>
      <c r="E432" s="15"/>
      <c r="F432" s="26"/>
      <c r="G432" s="26"/>
      <c r="H432" s="15"/>
      <c r="I432" s="14"/>
      <c r="J432" s="9"/>
      <c r="L432" s="15"/>
      <c r="O432" s="4"/>
    </row>
    <row r="433" ht="15.75" customHeight="1">
      <c r="A433" s="15"/>
      <c r="B433" s="15"/>
      <c r="C433" s="15"/>
      <c r="D433" s="15"/>
      <c r="E433" s="15"/>
      <c r="F433" s="26"/>
      <c r="G433" s="26"/>
      <c r="H433" s="15"/>
      <c r="I433" s="14"/>
      <c r="J433" s="9"/>
      <c r="L433" s="15"/>
      <c r="O433" s="4"/>
    </row>
    <row r="434" ht="15.75" customHeight="1">
      <c r="A434" s="15"/>
      <c r="B434" s="15"/>
      <c r="C434" s="15"/>
      <c r="D434" s="15"/>
      <c r="E434" s="15"/>
      <c r="F434" s="26"/>
      <c r="G434" s="26"/>
      <c r="H434" s="15"/>
      <c r="I434" s="14"/>
      <c r="J434" s="9"/>
      <c r="L434" s="15"/>
      <c r="O434" s="4"/>
    </row>
    <row r="435" ht="15.75" customHeight="1">
      <c r="A435" s="15"/>
      <c r="B435" s="15"/>
      <c r="C435" s="15"/>
      <c r="D435" s="15"/>
      <c r="E435" s="15"/>
      <c r="F435" s="26"/>
      <c r="G435" s="26"/>
      <c r="H435" s="15"/>
      <c r="I435" s="14"/>
      <c r="J435" s="9"/>
      <c r="L435" s="15"/>
      <c r="O435" s="4"/>
    </row>
    <row r="436" ht="15.75" customHeight="1">
      <c r="A436" s="15"/>
      <c r="B436" s="15"/>
      <c r="C436" s="15"/>
      <c r="D436" s="15"/>
      <c r="E436" s="15"/>
      <c r="F436" s="26"/>
      <c r="G436" s="26"/>
      <c r="H436" s="15"/>
      <c r="I436" s="14"/>
      <c r="J436" s="9"/>
      <c r="L436" s="15"/>
      <c r="O436" s="4"/>
    </row>
    <row r="437" ht="15.75" customHeight="1">
      <c r="A437" s="15"/>
      <c r="B437" s="15"/>
      <c r="C437" s="15"/>
      <c r="D437" s="15"/>
      <c r="E437" s="15"/>
      <c r="F437" s="26"/>
      <c r="G437" s="26"/>
      <c r="H437" s="15"/>
      <c r="I437" s="14"/>
      <c r="J437" s="9"/>
      <c r="L437" s="15"/>
      <c r="O437" s="4"/>
    </row>
    <row r="438" ht="15.75" customHeight="1">
      <c r="A438" s="15"/>
      <c r="B438" s="15"/>
      <c r="C438" s="15"/>
      <c r="D438" s="15"/>
      <c r="E438" s="15"/>
      <c r="F438" s="26"/>
      <c r="G438" s="26"/>
      <c r="H438" s="15"/>
      <c r="I438" s="14"/>
      <c r="J438" s="9"/>
      <c r="L438" s="15"/>
      <c r="O438" s="4"/>
    </row>
    <row r="439" ht="15.75" customHeight="1">
      <c r="A439" s="15"/>
      <c r="B439" s="15"/>
      <c r="C439" s="15"/>
      <c r="D439" s="15"/>
      <c r="E439" s="15"/>
      <c r="F439" s="26"/>
      <c r="G439" s="26"/>
      <c r="H439" s="15"/>
      <c r="I439" s="14"/>
      <c r="J439" s="9"/>
      <c r="L439" s="15"/>
      <c r="O439" s="4"/>
    </row>
    <row r="440" ht="15.75" customHeight="1">
      <c r="A440" s="15"/>
      <c r="B440" s="15"/>
      <c r="C440" s="15"/>
      <c r="D440" s="15"/>
      <c r="E440" s="15"/>
      <c r="F440" s="26"/>
      <c r="G440" s="26"/>
      <c r="H440" s="15"/>
      <c r="I440" s="14"/>
      <c r="J440" s="9"/>
      <c r="L440" s="15"/>
      <c r="O440" s="4"/>
    </row>
    <row r="441" ht="15.75" customHeight="1">
      <c r="A441" s="15"/>
      <c r="B441" s="15"/>
      <c r="C441" s="15"/>
      <c r="D441" s="15"/>
      <c r="E441" s="15"/>
      <c r="F441" s="26"/>
      <c r="G441" s="26"/>
      <c r="H441" s="15"/>
      <c r="I441" s="14"/>
      <c r="J441" s="9"/>
      <c r="L441" s="15"/>
      <c r="O441" s="4"/>
    </row>
    <row r="442" ht="15.75" customHeight="1">
      <c r="A442" s="15"/>
      <c r="B442" s="15"/>
      <c r="C442" s="15"/>
      <c r="D442" s="15"/>
      <c r="E442" s="15"/>
      <c r="F442" s="26"/>
      <c r="G442" s="26"/>
      <c r="H442" s="15"/>
      <c r="I442" s="14"/>
      <c r="J442" s="9"/>
      <c r="L442" s="15"/>
      <c r="O442" s="4"/>
    </row>
    <row r="443" ht="15.75" customHeight="1">
      <c r="A443" s="15"/>
      <c r="B443" s="15"/>
      <c r="C443" s="15"/>
      <c r="D443" s="15"/>
      <c r="E443" s="15"/>
      <c r="F443" s="26"/>
      <c r="G443" s="26"/>
      <c r="H443" s="15"/>
      <c r="I443" s="14"/>
      <c r="J443" s="9"/>
      <c r="L443" s="15"/>
      <c r="O443" s="4"/>
    </row>
    <row r="444" ht="15.75" customHeight="1">
      <c r="A444" s="15"/>
      <c r="B444" s="15"/>
      <c r="C444" s="15"/>
      <c r="D444" s="15"/>
      <c r="E444" s="15"/>
      <c r="F444" s="26"/>
      <c r="G444" s="26"/>
      <c r="H444" s="15"/>
      <c r="I444" s="14"/>
      <c r="J444" s="9"/>
      <c r="L444" s="15"/>
      <c r="O444" s="4"/>
    </row>
    <row r="445" ht="15.75" customHeight="1">
      <c r="A445" s="15"/>
      <c r="B445" s="15"/>
      <c r="C445" s="15"/>
      <c r="D445" s="15"/>
      <c r="E445" s="15"/>
      <c r="F445" s="26"/>
      <c r="G445" s="26"/>
      <c r="H445" s="15"/>
      <c r="I445" s="14"/>
      <c r="J445" s="9"/>
      <c r="L445" s="15"/>
      <c r="O445" s="4"/>
    </row>
    <row r="446" ht="15.75" customHeight="1">
      <c r="A446" s="15"/>
      <c r="B446" s="15"/>
      <c r="C446" s="15"/>
      <c r="D446" s="15"/>
      <c r="E446" s="15"/>
      <c r="F446" s="26"/>
      <c r="G446" s="26"/>
      <c r="H446" s="15"/>
      <c r="I446" s="14"/>
      <c r="J446" s="9"/>
      <c r="L446" s="15"/>
      <c r="O446" s="4"/>
    </row>
    <row r="447" ht="15.75" customHeight="1">
      <c r="A447" s="15"/>
      <c r="B447" s="15"/>
      <c r="C447" s="15"/>
      <c r="D447" s="15"/>
      <c r="E447" s="15"/>
      <c r="F447" s="26"/>
      <c r="G447" s="26"/>
      <c r="H447" s="15"/>
      <c r="I447" s="14"/>
      <c r="J447" s="9"/>
      <c r="L447" s="15"/>
      <c r="O447" s="4"/>
    </row>
    <row r="448" ht="15.75" customHeight="1">
      <c r="A448" s="15"/>
      <c r="B448" s="15"/>
      <c r="C448" s="15"/>
      <c r="D448" s="15"/>
      <c r="E448" s="15"/>
      <c r="F448" s="26"/>
      <c r="G448" s="26"/>
      <c r="H448" s="15"/>
      <c r="I448" s="14"/>
      <c r="J448" s="9"/>
      <c r="L448" s="15"/>
      <c r="O448" s="4"/>
    </row>
    <row r="449" ht="15.75" customHeight="1">
      <c r="A449" s="15"/>
      <c r="B449" s="15"/>
      <c r="C449" s="15"/>
      <c r="D449" s="15"/>
      <c r="E449" s="15"/>
      <c r="F449" s="26"/>
      <c r="G449" s="26"/>
      <c r="H449" s="15"/>
      <c r="I449" s="14"/>
      <c r="J449" s="9"/>
      <c r="L449" s="15"/>
      <c r="O449" s="4"/>
    </row>
    <row r="450" ht="15.75" customHeight="1">
      <c r="A450" s="15"/>
      <c r="B450" s="15"/>
      <c r="C450" s="15"/>
      <c r="D450" s="15"/>
      <c r="E450" s="15"/>
      <c r="F450" s="26"/>
      <c r="G450" s="26"/>
      <c r="H450" s="15"/>
      <c r="I450" s="14"/>
      <c r="J450" s="9"/>
      <c r="L450" s="15"/>
      <c r="O450" s="4"/>
    </row>
    <row r="451" ht="15.75" customHeight="1">
      <c r="A451" s="15"/>
      <c r="B451" s="15"/>
      <c r="C451" s="15"/>
      <c r="D451" s="15"/>
      <c r="E451" s="15"/>
      <c r="F451" s="26"/>
      <c r="G451" s="26"/>
      <c r="H451" s="15"/>
      <c r="I451" s="14"/>
      <c r="J451" s="9"/>
      <c r="L451" s="15"/>
      <c r="O451" s="4"/>
    </row>
    <row r="452" ht="15.75" customHeight="1">
      <c r="A452" s="15"/>
      <c r="B452" s="15"/>
      <c r="C452" s="15"/>
      <c r="D452" s="15"/>
      <c r="E452" s="15"/>
      <c r="F452" s="26"/>
      <c r="G452" s="26"/>
      <c r="H452" s="15"/>
      <c r="I452" s="14"/>
      <c r="J452" s="9"/>
      <c r="L452" s="15"/>
      <c r="O452" s="4"/>
    </row>
    <row r="453" ht="15.75" customHeight="1">
      <c r="A453" s="15"/>
      <c r="B453" s="15"/>
      <c r="C453" s="15"/>
      <c r="D453" s="15"/>
      <c r="E453" s="15"/>
      <c r="F453" s="26"/>
      <c r="G453" s="26"/>
      <c r="H453" s="15"/>
      <c r="I453" s="14"/>
      <c r="J453" s="9"/>
      <c r="L453" s="15"/>
      <c r="O453" s="4"/>
    </row>
    <row r="454" ht="15.75" customHeight="1">
      <c r="A454" s="15"/>
      <c r="B454" s="15"/>
      <c r="C454" s="15"/>
      <c r="D454" s="15"/>
      <c r="E454" s="15"/>
      <c r="F454" s="26"/>
      <c r="G454" s="26"/>
      <c r="H454" s="15"/>
      <c r="I454" s="14"/>
      <c r="J454" s="9"/>
      <c r="L454" s="15"/>
      <c r="O454" s="4"/>
    </row>
    <row r="455" ht="15.75" customHeight="1">
      <c r="A455" s="15"/>
      <c r="B455" s="15"/>
      <c r="C455" s="15"/>
      <c r="D455" s="15"/>
      <c r="E455" s="15"/>
      <c r="F455" s="26"/>
      <c r="G455" s="26"/>
      <c r="H455" s="15"/>
      <c r="I455" s="14"/>
      <c r="J455" s="9"/>
      <c r="L455" s="15"/>
      <c r="O455" s="4"/>
    </row>
    <row r="456" ht="15.75" customHeight="1">
      <c r="A456" s="15"/>
      <c r="B456" s="15"/>
      <c r="C456" s="15"/>
      <c r="D456" s="15"/>
      <c r="E456" s="15"/>
      <c r="F456" s="26"/>
      <c r="G456" s="26"/>
      <c r="H456" s="15"/>
      <c r="I456" s="14"/>
      <c r="J456" s="9"/>
      <c r="L456" s="15"/>
      <c r="O456" s="4"/>
    </row>
    <row r="457" ht="15.75" customHeight="1">
      <c r="A457" s="15"/>
      <c r="B457" s="15"/>
      <c r="C457" s="15"/>
      <c r="D457" s="15"/>
      <c r="E457" s="15"/>
      <c r="F457" s="26"/>
      <c r="G457" s="26"/>
      <c r="H457" s="15"/>
      <c r="I457" s="14"/>
      <c r="J457" s="9"/>
      <c r="L457" s="15"/>
      <c r="O457" s="4"/>
    </row>
    <row r="458" ht="15.75" customHeight="1">
      <c r="A458" s="15"/>
      <c r="B458" s="15"/>
      <c r="C458" s="15"/>
      <c r="D458" s="15"/>
      <c r="E458" s="15"/>
      <c r="F458" s="26"/>
      <c r="G458" s="26"/>
      <c r="H458" s="15"/>
      <c r="I458" s="14"/>
      <c r="J458" s="9"/>
      <c r="L458" s="15"/>
      <c r="O458" s="4"/>
    </row>
    <row r="459" ht="15.75" customHeight="1">
      <c r="A459" s="15"/>
      <c r="B459" s="15"/>
      <c r="C459" s="15"/>
      <c r="D459" s="15"/>
      <c r="E459" s="15"/>
      <c r="F459" s="26"/>
      <c r="G459" s="26"/>
      <c r="H459" s="15"/>
      <c r="I459" s="14"/>
      <c r="J459" s="9"/>
      <c r="L459" s="15"/>
      <c r="O459" s="4"/>
    </row>
    <row r="460" ht="15.75" customHeight="1">
      <c r="A460" s="15"/>
      <c r="B460" s="15"/>
      <c r="C460" s="15"/>
      <c r="D460" s="15"/>
      <c r="E460" s="15"/>
      <c r="F460" s="26"/>
      <c r="G460" s="26"/>
      <c r="H460" s="15"/>
      <c r="I460" s="14"/>
      <c r="J460" s="9"/>
      <c r="L460" s="15"/>
      <c r="O460" s="4"/>
    </row>
    <row r="461" ht="15.75" customHeight="1">
      <c r="A461" s="15"/>
      <c r="B461" s="15"/>
      <c r="C461" s="15"/>
      <c r="D461" s="15"/>
      <c r="E461" s="15"/>
      <c r="F461" s="26"/>
      <c r="G461" s="26"/>
      <c r="H461" s="15"/>
      <c r="I461" s="14"/>
      <c r="J461" s="9"/>
      <c r="L461" s="15"/>
      <c r="O461" s="4"/>
    </row>
    <row r="462" ht="15.75" customHeight="1">
      <c r="A462" s="15"/>
      <c r="B462" s="15"/>
      <c r="C462" s="15"/>
      <c r="D462" s="15"/>
      <c r="E462" s="15"/>
      <c r="F462" s="26"/>
      <c r="G462" s="26"/>
      <c r="H462" s="15"/>
      <c r="I462" s="14"/>
      <c r="J462" s="9"/>
      <c r="L462" s="15"/>
      <c r="O462" s="4"/>
    </row>
    <row r="463" ht="15.75" customHeight="1">
      <c r="A463" s="15"/>
      <c r="B463" s="15"/>
      <c r="C463" s="15"/>
      <c r="D463" s="15"/>
      <c r="E463" s="15"/>
      <c r="F463" s="26"/>
      <c r="G463" s="26"/>
      <c r="H463" s="15"/>
      <c r="I463" s="14"/>
      <c r="J463" s="9"/>
      <c r="L463" s="15"/>
      <c r="O463" s="4"/>
    </row>
    <row r="464" ht="15.75" customHeight="1">
      <c r="A464" s="15"/>
      <c r="B464" s="15"/>
      <c r="C464" s="15"/>
      <c r="D464" s="15"/>
      <c r="E464" s="15"/>
      <c r="F464" s="26"/>
      <c r="G464" s="26"/>
      <c r="H464" s="15"/>
      <c r="I464" s="14"/>
      <c r="J464" s="9"/>
      <c r="L464" s="15"/>
      <c r="O464" s="4"/>
    </row>
    <row r="465" ht="15.75" customHeight="1">
      <c r="A465" s="15"/>
      <c r="B465" s="15"/>
      <c r="C465" s="15"/>
      <c r="D465" s="15"/>
      <c r="E465" s="15"/>
      <c r="F465" s="26"/>
      <c r="G465" s="26"/>
      <c r="H465" s="15"/>
      <c r="I465" s="14"/>
      <c r="J465" s="9"/>
      <c r="L465" s="15"/>
      <c r="O465" s="4"/>
    </row>
    <row r="466" ht="15.75" customHeight="1">
      <c r="A466" s="15"/>
      <c r="B466" s="15"/>
      <c r="C466" s="15"/>
      <c r="D466" s="15"/>
      <c r="E466" s="15"/>
      <c r="F466" s="26"/>
      <c r="G466" s="26"/>
      <c r="H466" s="15"/>
      <c r="I466" s="14"/>
      <c r="J466" s="9"/>
      <c r="L466" s="15"/>
      <c r="O466" s="4"/>
    </row>
    <row r="467" ht="15.75" customHeight="1">
      <c r="A467" s="15"/>
      <c r="B467" s="15"/>
      <c r="C467" s="15"/>
      <c r="D467" s="15"/>
      <c r="E467" s="15"/>
      <c r="F467" s="26"/>
      <c r="G467" s="26"/>
      <c r="H467" s="15"/>
      <c r="I467" s="14"/>
      <c r="J467" s="9"/>
      <c r="L467" s="15"/>
      <c r="O467" s="4"/>
    </row>
    <row r="468" ht="15.75" customHeight="1">
      <c r="A468" s="15"/>
      <c r="B468" s="15"/>
      <c r="C468" s="15"/>
      <c r="D468" s="15"/>
      <c r="E468" s="15"/>
      <c r="F468" s="26"/>
      <c r="G468" s="26"/>
      <c r="H468" s="15"/>
      <c r="I468" s="14"/>
      <c r="J468" s="9"/>
      <c r="L468" s="15"/>
      <c r="O468" s="4"/>
    </row>
    <row r="469" ht="15.75" customHeight="1">
      <c r="A469" s="15"/>
      <c r="B469" s="15"/>
      <c r="C469" s="15"/>
      <c r="D469" s="15"/>
      <c r="E469" s="15"/>
      <c r="F469" s="26"/>
      <c r="G469" s="26"/>
      <c r="H469" s="15"/>
      <c r="I469" s="14"/>
      <c r="J469" s="9"/>
      <c r="L469" s="15"/>
      <c r="O469" s="4"/>
    </row>
    <row r="470" ht="15.75" customHeight="1">
      <c r="A470" s="15"/>
      <c r="B470" s="15"/>
      <c r="C470" s="15"/>
      <c r="D470" s="15"/>
      <c r="E470" s="15"/>
      <c r="F470" s="26"/>
      <c r="G470" s="26"/>
      <c r="H470" s="15"/>
      <c r="I470" s="14"/>
      <c r="J470" s="9"/>
      <c r="L470" s="15"/>
      <c r="O470" s="4"/>
    </row>
    <row r="471" ht="15.75" customHeight="1">
      <c r="A471" s="15"/>
      <c r="B471" s="15"/>
      <c r="C471" s="15"/>
      <c r="D471" s="15"/>
      <c r="E471" s="15"/>
      <c r="F471" s="26"/>
      <c r="G471" s="26"/>
      <c r="H471" s="15"/>
      <c r="I471" s="14"/>
      <c r="J471" s="9"/>
      <c r="L471" s="15"/>
      <c r="O471" s="4"/>
    </row>
    <row r="472" ht="15.75" customHeight="1">
      <c r="A472" s="15"/>
      <c r="B472" s="15"/>
      <c r="C472" s="15"/>
      <c r="D472" s="15"/>
      <c r="E472" s="15"/>
      <c r="F472" s="26"/>
      <c r="G472" s="26"/>
      <c r="H472" s="15"/>
      <c r="I472" s="14"/>
      <c r="J472" s="9"/>
      <c r="L472" s="15"/>
      <c r="O472" s="4"/>
    </row>
    <row r="473" ht="15.75" customHeight="1">
      <c r="A473" s="15"/>
      <c r="B473" s="15"/>
      <c r="C473" s="15"/>
      <c r="D473" s="15"/>
      <c r="E473" s="15"/>
      <c r="F473" s="26"/>
      <c r="G473" s="26"/>
      <c r="H473" s="15"/>
      <c r="I473" s="14"/>
      <c r="J473" s="9"/>
      <c r="L473" s="15"/>
      <c r="O473" s="4"/>
    </row>
    <row r="474" ht="15.75" customHeight="1">
      <c r="A474" s="15"/>
      <c r="B474" s="15"/>
      <c r="C474" s="15"/>
      <c r="D474" s="15"/>
      <c r="E474" s="15"/>
      <c r="F474" s="26"/>
      <c r="G474" s="26"/>
      <c r="H474" s="15"/>
      <c r="I474" s="14"/>
      <c r="J474" s="9"/>
      <c r="L474" s="15"/>
      <c r="O474" s="4"/>
    </row>
    <row r="475" ht="15.75" customHeight="1">
      <c r="A475" s="15"/>
      <c r="B475" s="15"/>
      <c r="C475" s="15"/>
      <c r="D475" s="15"/>
      <c r="E475" s="15"/>
      <c r="F475" s="26"/>
      <c r="G475" s="26"/>
      <c r="H475" s="15"/>
      <c r="I475" s="14"/>
      <c r="J475" s="9"/>
      <c r="L475" s="15"/>
      <c r="O475" s="4"/>
    </row>
    <row r="476" ht="15.75" customHeight="1">
      <c r="A476" s="15"/>
      <c r="B476" s="15"/>
      <c r="C476" s="15"/>
      <c r="D476" s="15"/>
      <c r="E476" s="15"/>
      <c r="F476" s="26"/>
      <c r="G476" s="26"/>
      <c r="H476" s="15"/>
      <c r="I476" s="14"/>
      <c r="J476" s="9"/>
      <c r="L476" s="15"/>
      <c r="O476" s="4"/>
    </row>
    <row r="477" ht="15.75" customHeight="1">
      <c r="A477" s="15"/>
      <c r="B477" s="15"/>
      <c r="C477" s="15"/>
      <c r="D477" s="15"/>
      <c r="E477" s="15"/>
      <c r="F477" s="26"/>
      <c r="G477" s="26"/>
      <c r="H477" s="15"/>
      <c r="I477" s="14"/>
      <c r="J477" s="9"/>
      <c r="L477" s="15"/>
      <c r="O477" s="4"/>
    </row>
    <row r="478" ht="15.75" customHeight="1">
      <c r="A478" s="15"/>
      <c r="B478" s="15"/>
      <c r="C478" s="15"/>
      <c r="D478" s="15"/>
      <c r="E478" s="15"/>
      <c r="F478" s="26"/>
      <c r="G478" s="26"/>
      <c r="H478" s="15"/>
      <c r="I478" s="14"/>
      <c r="J478" s="9"/>
      <c r="L478" s="15"/>
      <c r="O478" s="4"/>
    </row>
    <row r="479" ht="15.75" customHeight="1">
      <c r="A479" s="15"/>
      <c r="B479" s="15"/>
      <c r="C479" s="15"/>
      <c r="D479" s="15"/>
      <c r="E479" s="15"/>
      <c r="F479" s="26"/>
      <c r="G479" s="26"/>
      <c r="H479" s="15"/>
      <c r="I479" s="14"/>
      <c r="J479" s="9"/>
      <c r="L479" s="15"/>
      <c r="O479" s="4"/>
    </row>
    <row r="480" ht="15.75" customHeight="1">
      <c r="A480" s="15"/>
      <c r="B480" s="15"/>
      <c r="C480" s="15"/>
      <c r="D480" s="15"/>
      <c r="E480" s="15"/>
      <c r="F480" s="26"/>
      <c r="G480" s="26"/>
      <c r="H480" s="15"/>
      <c r="I480" s="14"/>
      <c r="J480" s="9"/>
      <c r="L480" s="15"/>
      <c r="O480" s="4"/>
    </row>
    <row r="481" ht="15.75" customHeight="1">
      <c r="A481" s="15"/>
      <c r="B481" s="15"/>
      <c r="C481" s="15"/>
      <c r="D481" s="15"/>
      <c r="E481" s="15"/>
      <c r="F481" s="26"/>
      <c r="G481" s="26"/>
      <c r="H481" s="15"/>
      <c r="I481" s="14"/>
      <c r="J481" s="9"/>
      <c r="L481" s="15"/>
      <c r="O481" s="4"/>
    </row>
    <row r="482" ht="15.75" customHeight="1">
      <c r="A482" s="15"/>
      <c r="B482" s="15"/>
      <c r="C482" s="15"/>
      <c r="D482" s="15"/>
      <c r="E482" s="15"/>
      <c r="F482" s="26"/>
      <c r="G482" s="26"/>
      <c r="H482" s="15"/>
      <c r="I482" s="14"/>
      <c r="J482" s="9"/>
      <c r="L482" s="15"/>
      <c r="O482" s="4"/>
    </row>
    <row r="483" ht="15.75" customHeight="1">
      <c r="A483" s="15"/>
      <c r="B483" s="15"/>
      <c r="C483" s="15"/>
      <c r="D483" s="15"/>
      <c r="E483" s="15"/>
      <c r="F483" s="26"/>
      <c r="G483" s="26"/>
      <c r="H483" s="15"/>
      <c r="I483" s="14"/>
      <c r="J483" s="9"/>
      <c r="L483" s="15"/>
      <c r="O483" s="4"/>
    </row>
    <row r="484" ht="15.75" customHeight="1">
      <c r="A484" s="15"/>
      <c r="B484" s="15"/>
      <c r="C484" s="15"/>
      <c r="D484" s="15"/>
      <c r="E484" s="15"/>
      <c r="F484" s="26"/>
      <c r="G484" s="26"/>
      <c r="H484" s="15"/>
      <c r="I484" s="14"/>
      <c r="J484" s="9"/>
      <c r="L484" s="15"/>
      <c r="O484" s="4"/>
    </row>
    <row r="485" ht="15.75" customHeight="1">
      <c r="A485" s="15"/>
      <c r="B485" s="15"/>
      <c r="C485" s="15"/>
      <c r="D485" s="15"/>
      <c r="E485" s="15"/>
      <c r="F485" s="26"/>
      <c r="G485" s="26"/>
      <c r="H485" s="15"/>
      <c r="I485" s="14"/>
      <c r="J485" s="9"/>
      <c r="L485" s="15"/>
      <c r="O485" s="4"/>
    </row>
    <row r="486" ht="15.75" customHeight="1">
      <c r="A486" s="15"/>
      <c r="B486" s="15"/>
      <c r="C486" s="15"/>
      <c r="D486" s="15"/>
      <c r="E486" s="15"/>
      <c r="F486" s="26"/>
      <c r="G486" s="26"/>
      <c r="H486" s="15"/>
      <c r="I486" s="14"/>
      <c r="J486" s="9"/>
      <c r="L486" s="15"/>
      <c r="O486" s="4"/>
    </row>
    <row r="487" ht="15.75" customHeight="1">
      <c r="A487" s="15"/>
      <c r="B487" s="15"/>
      <c r="C487" s="15"/>
      <c r="D487" s="15"/>
      <c r="E487" s="15"/>
      <c r="F487" s="26"/>
      <c r="G487" s="26"/>
      <c r="H487" s="15"/>
      <c r="I487" s="14"/>
      <c r="J487" s="9"/>
      <c r="L487" s="15"/>
      <c r="O487" s="4"/>
    </row>
    <row r="488" ht="15.75" customHeight="1">
      <c r="A488" s="15"/>
      <c r="B488" s="15"/>
      <c r="C488" s="15"/>
      <c r="D488" s="15"/>
      <c r="E488" s="15"/>
      <c r="F488" s="26"/>
      <c r="G488" s="26"/>
      <c r="H488" s="15"/>
      <c r="I488" s="14"/>
      <c r="J488" s="9"/>
      <c r="L488" s="15"/>
      <c r="O488" s="4"/>
    </row>
    <row r="489" ht="15.75" customHeight="1">
      <c r="A489" s="15"/>
      <c r="B489" s="15"/>
      <c r="C489" s="15"/>
      <c r="D489" s="15"/>
      <c r="E489" s="15"/>
      <c r="F489" s="26"/>
      <c r="G489" s="26"/>
      <c r="H489" s="15"/>
      <c r="I489" s="14"/>
      <c r="J489" s="9"/>
      <c r="L489" s="15"/>
      <c r="O489" s="4"/>
    </row>
    <row r="490" ht="15.75" customHeight="1">
      <c r="A490" s="15"/>
      <c r="B490" s="15"/>
      <c r="C490" s="15"/>
      <c r="D490" s="15"/>
      <c r="E490" s="15"/>
      <c r="F490" s="26"/>
      <c r="G490" s="26"/>
      <c r="H490" s="15"/>
      <c r="I490" s="14"/>
      <c r="J490" s="9"/>
      <c r="L490" s="15"/>
      <c r="O490" s="4"/>
    </row>
    <row r="491" ht="15.75" customHeight="1">
      <c r="A491" s="15"/>
      <c r="B491" s="15"/>
      <c r="C491" s="15"/>
      <c r="D491" s="15"/>
      <c r="E491" s="15"/>
      <c r="F491" s="26"/>
      <c r="G491" s="26"/>
      <c r="H491" s="15"/>
      <c r="I491" s="14"/>
      <c r="J491" s="9"/>
      <c r="L491" s="15"/>
      <c r="O491" s="4"/>
    </row>
    <row r="492" ht="15.75" customHeight="1">
      <c r="A492" s="15"/>
      <c r="B492" s="15"/>
      <c r="C492" s="15"/>
      <c r="D492" s="15"/>
      <c r="E492" s="15"/>
      <c r="F492" s="26"/>
      <c r="G492" s="26"/>
      <c r="H492" s="15"/>
      <c r="I492" s="14"/>
      <c r="J492" s="9"/>
      <c r="L492" s="15"/>
      <c r="O492" s="4"/>
    </row>
    <row r="493" ht="15.75" customHeight="1">
      <c r="A493" s="15"/>
      <c r="B493" s="15"/>
      <c r="C493" s="15"/>
      <c r="D493" s="15"/>
      <c r="E493" s="15"/>
      <c r="F493" s="26"/>
      <c r="G493" s="26"/>
      <c r="H493" s="15"/>
      <c r="I493" s="14"/>
      <c r="J493" s="9"/>
      <c r="L493" s="15"/>
      <c r="O493" s="4"/>
    </row>
    <row r="494" ht="15.75" customHeight="1">
      <c r="A494" s="15"/>
      <c r="B494" s="15"/>
      <c r="C494" s="15"/>
      <c r="D494" s="15"/>
      <c r="E494" s="15"/>
      <c r="F494" s="26"/>
      <c r="G494" s="26"/>
      <c r="H494" s="15"/>
      <c r="I494" s="14"/>
      <c r="J494" s="9"/>
      <c r="L494" s="15"/>
      <c r="O494" s="4"/>
    </row>
    <row r="495" ht="15.75" customHeight="1">
      <c r="A495" s="15"/>
      <c r="B495" s="15"/>
      <c r="C495" s="15"/>
      <c r="D495" s="15"/>
      <c r="E495" s="15"/>
      <c r="F495" s="26"/>
      <c r="G495" s="26"/>
      <c r="H495" s="15"/>
      <c r="I495" s="14"/>
      <c r="J495" s="9"/>
      <c r="L495" s="15"/>
      <c r="O495" s="4"/>
    </row>
    <row r="496" ht="15.75" customHeight="1">
      <c r="A496" s="15"/>
      <c r="B496" s="15"/>
      <c r="C496" s="15"/>
      <c r="D496" s="15"/>
      <c r="E496" s="15"/>
      <c r="F496" s="26"/>
      <c r="G496" s="26"/>
      <c r="H496" s="15"/>
      <c r="I496" s="14"/>
      <c r="J496" s="9"/>
      <c r="L496" s="15"/>
      <c r="O496" s="4"/>
    </row>
    <row r="497" ht="15.75" customHeight="1">
      <c r="A497" s="15"/>
      <c r="B497" s="15"/>
      <c r="C497" s="15"/>
      <c r="D497" s="15"/>
      <c r="E497" s="15"/>
      <c r="F497" s="26"/>
      <c r="G497" s="26"/>
      <c r="H497" s="15"/>
      <c r="I497" s="14"/>
      <c r="J497" s="9"/>
      <c r="L497" s="15"/>
      <c r="O497" s="4"/>
    </row>
    <row r="498" ht="15.75" customHeight="1">
      <c r="A498" s="15"/>
      <c r="B498" s="15"/>
      <c r="C498" s="15"/>
      <c r="D498" s="15"/>
      <c r="E498" s="15"/>
      <c r="F498" s="26"/>
      <c r="G498" s="26"/>
      <c r="H498" s="15"/>
      <c r="I498" s="14"/>
      <c r="J498" s="9"/>
      <c r="L498" s="15"/>
      <c r="O498" s="4"/>
    </row>
    <row r="499" ht="15.75" customHeight="1">
      <c r="A499" s="15"/>
      <c r="B499" s="15"/>
      <c r="C499" s="15"/>
      <c r="D499" s="15"/>
      <c r="E499" s="15"/>
      <c r="F499" s="26"/>
      <c r="G499" s="26"/>
      <c r="H499" s="15"/>
      <c r="I499" s="14"/>
      <c r="J499" s="9"/>
      <c r="L499" s="15"/>
      <c r="O499" s="4"/>
    </row>
    <row r="500" ht="15.75" customHeight="1">
      <c r="A500" s="15"/>
      <c r="B500" s="15"/>
      <c r="C500" s="15"/>
      <c r="D500" s="15"/>
      <c r="E500" s="15"/>
      <c r="F500" s="26"/>
      <c r="G500" s="26"/>
      <c r="H500" s="15"/>
      <c r="I500" s="14"/>
      <c r="J500" s="9"/>
      <c r="L500" s="15"/>
      <c r="O500" s="4"/>
    </row>
    <row r="501" ht="15.75" customHeight="1">
      <c r="A501" s="15"/>
      <c r="B501" s="15"/>
      <c r="C501" s="15"/>
      <c r="D501" s="15"/>
      <c r="E501" s="15"/>
      <c r="F501" s="26"/>
      <c r="G501" s="26"/>
      <c r="H501" s="15"/>
      <c r="I501" s="14"/>
      <c r="J501" s="9"/>
      <c r="L501" s="15"/>
      <c r="O501" s="4"/>
    </row>
    <row r="502" ht="15.75" customHeight="1">
      <c r="A502" s="15"/>
      <c r="B502" s="15"/>
      <c r="C502" s="15"/>
      <c r="D502" s="15"/>
      <c r="E502" s="15"/>
      <c r="F502" s="26"/>
      <c r="G502" s="26"/>
      <c r="H502" s="15"/>
      <c r="I502" s="14"/>
      <c r="J502" s="9"/>
      <c r="L502" s="15"/>
      <c r="O502" s="4"/>
    </row>
    <row r="503" ht="15.75" customHeight="1">
      <c r="A503" s="15"/>
      <c r="B503" s="15"/>
      <c r="C503" s="15"/>
      <c r="D503" s="15"/>
      <c r="E503" s="15"/>
      <c r="F503" s="26"/>
      <c r="G503" s="26"/>
      <c r="H503" s="15"/>
      <c r="I503" s="14"/>
      <c r="J503" s="9"/>
      <c r="L503" s="15"/>
      <c r="O503" s="4"/>
    </row>
    <row r="504" ht="15.75" customHeight="1">
      <c r="A504" s="15"/>
      <c r="B504" s="15"/>
      <c r="C504" s="15"/>
      <c r="D504" s="15"/>
      <c r="E504" s="15"/>
      <c r="F504" s="26"/>
      <c r="G504" s="26"/>
      <c r="H504" s="15"/>
      <c r="I504" s="14"/>
      <c r="J504" s="9"/>
      <c r="L504" s="15"/>
      <c r="O504" s="4"/>
    </row>
    <row r="505" ht="15.75" customHeight="1">
      <c r="A505" s="15"/>
      <c r="B505" s="15"/>
      <c r="C505" s="15"/>
      <c r="D505" s="15"/>
      <c r="E505" s="15"/>
      <c r="F505" s="26"/>
      <c r="G505" s="26"/>
      <c r="H505" s="15"/>
      <c r="I505" s="14"/>
      <c r="J505" s="9"/>
      <c r="L505" s="15"/>
      <c r="O505" s="4"/>
    </row>
    <row r="506" ht="15.75" customHeight="1">
      <c r="A506" s="15"/>
      <c r="B506" s="15"/>
      <c r="C506" s="15"/>
      <c r="D506" s="15"/>
      <c r="E506" s="15"/>
      <c r="F506" s="26"/>
      <c r="G506" s="26"/>
      <c r="H506" s="15"/>
      <c r="I506" s="14"/>
      <c r="J506" s="9"/>
      <c r="L506" s="15"/>
      <c r="O506" s="4"/>
    </row>
    <row r="507" ht="15.75" customHeight="1">
      <c r="A507" s="15"/>
      <c r="B507" s="15"/>
      <c r="C507" s="15"/>
      <c r="D507" s="15"/>
      <c r="E507" s="15"/>
      <c r="F507" s="26"/>
      <c r="G507" s="26"/>
      <c r="H507" s="15"/>
      <c r="I507" s="14"/>
      <c r="J507" s="9"/>
      <c r="L507" s="15"/>
      <c r="O507" s="4"/>
    </row>
    <row r="508" ht="15.75" customHeight="1">
      <c r="A508" s="15"/>
      <c r="B508" s="15"/>
      <c r="C508" s="15"/>
      <c r="D508" s="15"/>
      <c r="E508" s="15"/>
      <c r="F508" s="26"/>
      <c r="G508" s="26"/>
      <c r="H508" s="15"/>
      <c r="I508" s="14"/>
      <c r="J508" s="9"/>
      <c r="L508" s="15"/>
      <c r="O508" s="4"/>
    </row>
    <row r="509" ht="15.75" customHeight="1">
      <c r="A509" s="15"/>
      <c r="B509" s="15"/>
      <c r="C509" s="15"/>
      <c r="D509" s="15"/>
      <c r="E509" s="15"/>
      <c r="F509" s="26"/>
      <c r="G509" s="26"/>
      <c r="H509" s="15"/>
      <c r="I509" s="14"/>
      <c r="J509" s="9"/>
      <c r="L509" s="15"/>
      <c r="O509" s="4"/>
    </row>
    <row r="510" ht="15.75" customHeight="1">
      <c r="A510" s="15"/>
      <c r="B510" s="15"/>
      <c r="C510" s="15"/>
      <c r="D510" s="15"/>
      <c r="E510" s="15"/>
      <c r="F510" s="26"/>
      <c r="G510" s="26"/>
      <c r="H510" s="15"/>
      <c r="I510" s="14"/>
      <c r="J510" s="9"/>
      <c r="L510" s="15"/>
      <c r="O510" s="4"/>
    </row>
    <row r="511" ht="15.75" customHeight="1">
      <c r="A511" s="15"/>
      <c r="B511" s="15"/>
      <c r="C511" s="15"/>
      <c r="D511" s="15"/>
      <c r="E511" s="15"/>
      <c r="F511" s="26"/>
      <c r="G511" s="26"/>
      <c r="H511" s="15"/>
      <c r="I511" s="14"/>
      <c r="J511" s="9"/>
      <c r="L511" s="15"/>
      <c r="O511" s="4"/>
    </row>
    <row r="512" ht="15.75" customHeight="1">
      <c r="A512" s="15"/>
      <c r="B512" s="15"/>
      <c r="C512" s="15"/>
      <c r="D512" s="15"/>
      <c r="E512" s="15"/>
      <c r="F512" s="26"/>
      <c r="G512" s="26"/>
      <c r="H512" s="15"/>
      <c r="I512" s="14"/>
      <c r="J512" s="9"/>
      <c r="L512" s="15"/>
      <c r="O512" s="4"/>
    </row>
    <row r="513" ht="15.75" customHeight="1">
      <c r="A513" s="15"/>
      <c r="B513" s="15"/>
      <c r="C513" s="15"/>
      <c r="D513" s="15"/>
      <c r="E513" s="15"/>
      <c r="F513" s="26"/>
      <c r="G513" s="26"/>
      <c r="H513" s="15"/>
      <c r="I513" s="14"/>
      <c r="J513" s="9"/>
      <c r="L513" s="15"/>
      <c r="O513" s="4"/>
    </row>
    <row r="514" ht="15.75" customHeight="1">
      <c r="A514" s="15"/>
      <c r="B514" s="15"/>
      <c r="C514" s="15"/>
      <c r="D514" s="15"/>
      <c r="E514" s="15"/>
      <c r="F514" s="26"/>
      <c r="G514" s="26"/>
      <c r="H514" s="15"/>
      <c r="I514" s="14"/>
      <c r="J514" s="9"/>
      <c r="L514" s="15"/>
      <c r="O514" s="4"/>
    </row>
    <row r="515" ht="15.75" customHeight="1">
      <c r="A515" s="15"/>
      <c r="B515" s="15"/>
      <c r="C515" s="15"/>
      <c r="D515" s="15"/>
      <c r="E515" s="15"/>
      <c r="F515" s="26"/>
      <c r="G515" s="26"/>
      <c r="H515" s="15"/>
      <c r="I515" s="14"/>
      <c r="J515" s="9"/>
      <c r="L515" s="15"/>
      <c r="O515" s="4"/>
    </row>
    <row r="516" ht="15.75" customHeight="1">
      <c r="A516" s="15"/>
      <c r="B516" s="15"/>
      <c r="C516" s="15"/>
      <c r="D516" s="15"/>
      <c r="E516" s="15"/>
      <c r="F516" s="26"/>
      <c r="G516" s="26"/>
      <c r="H516" s="15"/>
      <c r="I516" s="14"/>
      <c r="J516" s="9"/>
      <c r="L516" s="15"/>
      <c r="O516" s="4"/>
    </row>
    <row r="517" ht="15.75" customHeight="1">
      <c r="A517" s="15"/>
      <c r="B517" s="15"/>
      <c r="C517" s="15"/>
      <c r="D517" s="15"/>
      <c r="E517" s="15"/>
      <c r="F517" s="26"/>
      <c r="G517" s="26"/>
      <c r="H517" s="15"/>
      <c r="I517" s="14"/>
      <c r="J517" s="9"/>
      <c r="L517" s="15"/>
      <c r="O517" s="4"/>
    </row>
    <row r="518" ht="15.75" customHeight="1">
      <c r="A518" s="15"/>
      <c r="B518" s="15"/>
      <c r="C518" s="15"/>
      <c r="D518" s="15"/>
      <c r="E518" s="15"/>
      <c r="F518" s="26"/>
      <c r="G518" s="26"/>
      <c r="H518" s="15"/>
      <c r="I518" s="14"/>
      <c r="J518" s="9"/>
      <c r="L518" s="15"/>
      <c r="O518" s="4"/>
    </row>
    <row r="519" ht="15.75" customHeight="1">
      <c r="A519" s="15"/>
      <c r="B519" s="15"/>
      <c r="C519" s="15"/>
      <c r="D519" s="15"/>
      <c r="E519" s="15"/>
      <c r="F519" s="26"/>
      <c r="G519" s="26"/>
      <c r="H519" s="15"/>
      <c r="I519" s="14"/>
      <c r="J519" s="9"/>
      <c r="L519" s="15"/>
      <c r="O519" s="4"/>
    </row>
    <row r="520" ht="15.75" customHeight="1">
      <c r="A520" s="15"/>
      <c r="B520" s="15"/>
      <c r="C520" s="15"/>
      <c r="D520" s="15"/>
      <c r="E520" s="15"/>
      <c r="F520" s="26"/>
      <c r="G520" s="26"/>
      <c r="H520" s="15"/>
      <c r="I520" s="14"/>
      <c r="J520" s="9"/>
      <c r="L520" s="15"/>
      <c r="O520" s="4"/>
    </row>
    <row r="521" ht="15.75" customHeight="1">
      <c r="A521" s="15"/>
      <c r="B521" s="15"/>
      <c r="C521" s="15"/>
      <c r="D521" s="15"/>
      <c r="E521" s="15"/>
      <c r="F521" s="26"/>
      <c r="G521" s="26"/>
      <c r="H521" s="15"/>
      <c r="I521" s="14"/>
      <c r="J521" s="9"/>
      <c r="L521" s="15"/>
      <c r="O521" s="4"/>
    </row>
    <row r="522" ht="15.75" customHeight="1">
      <c r="A522" s="15"/>
      <c r="B522" s="15"/>
      <c r="C522" s="15"/>
      <c r="D522" s="15"/>
      <c r="E522" s="15"/>
      <c r="F522" s="26"/>
      <c r="G522" s="26"/>
      <c r="H522" s="15"/>
      <c r="I522" s="14"/>
      <c r="J522" s="9"/>
      <c r="L522" s="15"/>
      <c r="O522" s="4"/>
    </row>
    <row r="523" ht="15.75" customHeight="1">
      <c r="A523" s="15"/>
      <c r="B523" s="15"/>
      <c r="C523" s="15"/>
      <c r="D523" s="15"/>
      <c r="E523" s="15"/>
      <c r="F523" s="26"/>
      <c r="G523" s="26"/>
      <c r="H523" s="15"/>
      <c r="I523" s="14"/>
      <c r="J523" s="9"/>
      <c r="L523" s="15"/>
      <c r="O523" s="4"/>
    </row>
    <row r="524" ht="15.75" customHeight="1">
      <c r="A524" s="15"/>
      <c r="B524" s="15"/>
      <c r="C524" s="15"/>
      <c r="D524" s="15"/>
      <c r="E524" s="15"/>
      <c r="F524" s="26"/>
      <c r="G524" s="26"/>
      <c r="H524" s="15"/>
      <c r="I524" s="14"/>
      <c r="J524" s="9"/>
      <c r="L524" s="15"/>
      <c r="O524" s="4"/>
    </row>
    <row r="525" ht="15.75" customHeight="1">
      <c r="A525" s="15"/>
      <c r="B525" s="15"/>
      <c r="C525" s="15"/>
      <c r="D525" s="15"/>
      <c r="E525" s="15"/>
      <c r="F525" s="26"/>
      <c r="G525" s="26"/>
      <c r="H525" s="15"/>
      <c r="I525" s="14"/>
      <c r="J525" s="9"/>
      <c r="L525" s="15"/>
      <c r="O525" s="4"/>
    </row>
    <row r="526" ht="15.75" customHeight="1">
      <c r="A526" s="15"/>
      <c r="B526" s="15"/>
      <c r="C526" s="15"/>
      <c r="D526" s="15"/>
      <c r="E526" s="15"/>
      <c r="F526" s="26"/>
      <c r="G526" s="26"/>
      <c r="H526" s="15"/>
      <c r="I526" s="14"/>
      <c r="J526" s="9"/>
      <c r="L526" s="15"/>
      <c r="O526" s="4"/>
    </row>
    <row r="527" ht="15.75" customHeight="1">
      <c r="A527" s="15"/>
      <c r="B527" s="15"/>
      <c r="C527" s="15"/>
      <c r="D527" s="15"/>
      <c r="E527" s="15"/>
      <c r="F527" s="26"/>
      <c r="G527" s="26"/>
      <c r="H527" s="15"/>
      <c r="I527" s="14"/>
      <c r="J527" s="9"/>
      <c r="L527" s="15"/>
      <c r="O527" s="4"/>
    </row>
    <row r="528" ht="15.75" customHeight="1">
      <c r="A528" s="15"/>
      <c r="B528" s="15"/>
      <c r="C528" s="15"/>
      <c r="D528" s="15"/>
      <c r="E528" s="15"/>
      <c r="F528" s="26"/>
      <c r="G528" s="26"/>
      <c r="H528" s="15"/>
      <c r="I528" s="14"/>
      <c r="J528" s="9"/>
      <c r="L528" s="15"/>
      <c r="O528" s="4"/>
    </row>
    <row r="529" ht="15.75" customHeight="1">
      <c r="A529" s="15"/>
      <c r="B529" s="15"/>
      <c r="C529" s="15"/>
      <c r="D529" s="15"/>
      <c r="E529" s="15"/>
      <c r="F529" s="26"/>
      <c r="G529" s="26"/>
      <c r="H529" s="15"/>
      <c r="I529" s="14"/>
      <c r="J529" s="9"/>
      <c r="L529" s="15"/>
      <c r="O529" s="4"/>
    </row>
    <row r="530" ht="15.75" customHeight="1">
      <c r="A530" s="15"/>
      <c r="B530" s="15"/>
      <c r="C530" s="15"/>
      <c r="D530" s="15"/>
      <c r="E530" s="15"/>
      <c r="F530" s="26"/>
      <c r="G530" s="26"/>
      <c r="H530" s="15"/>
      <c r="I530" s="14"/>
      <c r="J530" s="9"/>
      <c r="L530" s="15"/>
      <c r="O530" s="4"/>
    </row>
    <row r="531" ht="15.75" customHeight="1">
      <c r="A531" s="15"/>
      <c r="B531" s="15"/>
      <c r="C531" s="15"/>
      <c r="D531" s="15"/>
      <c r="E531" s="15"/>
      <c r="F531" s="26"/>
      <c r="G531" s="26"/>
      <c r="H531" s="15"/>
      <c r="I531" s="14"/>
      <c r="J531" s="9"/>
      <c r="L531" s="15"/>
      <c r="O531" s="4"/>
    </row>
    <row r="532" ht="15.75" customHeight="1">
      <c r="A532" s="15"/>
      <c r="B532" s="15"/>
      <c r="C532" s="15"/>
      <c r="D532" s="15"/>
      <c r="E532" s="15"/>
      <c r="F532" s="26"/>
      <c r="G532" s="26"/>
      <c r="H532" s="15"/>
      <c r="I532" s="14"/>
      <c r="J532" s="9"/>
      <c r="L532" s="15"/>
      <c r="O532" s="4"/>
    </row>
    <row r="533" ht="15.75" customHeight="1">
      <c r="A533" s="15"/>
      <c r="B533" s="15"/>
      <c r="C533" s="15"/>
      <c r="D533" s="15"/>
      <c r="E533" s="15"/>
      <c r="F533" s="26"/>
      <c r="G533" s="26"/>
      <c r="H533" s="15"/>
      <c r="I533" s="14"/>
      <c r="J533" s="9"/>
      <c r="L533" s="15"/>
      <c r="O533" s="4"/>
    </row>
    <row r="534" ht="15.75" customHeight="1">
      <c r="A534" s="15"/>
      <c r="B534" s="15"/>
      <c r="C534" s="15"/>
      <c r="D534" s="15"/>
      <c r="E534" s="15"/>
      <c r="F534" s="26"/>
      <c r="G534" s="26"/>
      <c r="H534" s="15"/>
      <c r="I534" s="14"/>
      <c r="J534" s="9"/>
      <c r="L534" s="15"/>
      <c r="O534" s="4"/>
    </row>
    <row r="535" ht="15.75" customHeight="1">
      <c r="A535" s="15"/>
      <c r="B535" s="15"/>
      <c r="C535" s="15"/>
      <c r="D535" s="15"/>
      <c r="E535" s="15"/>
      <c r="F535" s="26"/>
      <c r="G535" s="26"/>
      <c r="H535" s="15"/>
      <c r="I535" s="14"/>
      <c r="J535" s="9"/>
      <c r="L535" s="15"/>
      <c r="O535" s="4"/>
    </row>
    <row r="536" ht="15.75" customHeight="1">
      <c r="A536" s="15"/>
      <c r="B536" s="15"/>
      <c r="C536" s="15"/>
      <c r="D536" s="15"/>
      <c r="E536" s="15"/>
      <c r="F536" s="26"/>
      <c r="G536" s="26"/>
      <c r="H536" s="15"/>
      <c r="I536" s="14"/>
      <c r="J536" s="9"/>
      <c r="L536" s="15"/>
      <c r="O536" s="4"/>
    </row>
    <row r="537" ht="15.75" customHeight="1">
      <c r="A537" s="15"/>
      <c r="B537" s="15"/>
      <c r="C537" s="15"/>
      <c r="D537" s="15"/>
      <c r="E537" s="15"/>
      <c r="F537" s="26"/>
      <c r="G537" s="26"/>
      <c r="H537" s="15"/>
      <c r="I537" s="14"/>
      <c r="J537" s="9"/>
      <c r="L537" s="15"/>
      <c r="O537" s="4"/>
    </row>
    <row r="538" ht="15.75" customHeight="1">
      <c r="A538" s="15"/>
      <c r="B538" s="15"/>
      <c r="C538" s="15"/>
      <c r="D538" s="15"/>
      <c r="E538" s="15"/>
      <c r="F538" s="26"/>
      <c r="G538" s="26"/>
      <c r="H538" s="15"/>
      <c r="I538" s="14"/>
      <c r="J538" s="9"/>
      <c r="L538" s="15"/>
      <c r="O538" s="4"/>
    </row>
    <row r="539" ht="15.75" customHeight="1">
      <c r="A539" s="15"/>
      <c r="B539" s="15"/>
      <c r="C539" s="15"/>
      <c r="D539" s="15"/>
      <c r="E539" s="15"/>
      <c r="F539" s="26"/>
      <c r="G539" s="26"/>
      <c r="H539" s="15"/>
      <c r="I539" s="14"/>
      <c r="J539" s="9"/>
      <c r="L539" s="15"/>
      <c r="O539" s="4"/>
    </row>
    <row r="540" ht="15.75" customHeight="1">
      <c r="A540" s="15"/>
      <c r="B540" s="15"/>
      <c r="C540" s="15"/>
      <c r="D540" s="15"/>
      <c r="E540" s="15"/>
      <c r="F540" s="26"/>
      <c r="G540" s="26"/>
      <c r="H540" s="15"/>
      <c r="I540" s="14"/>
      <c r="J540" s="9"/>
      <c r="L540" s="15"/>
      <c r="O540" s="4"/>
    </row>
    <row r="541" ht="15.75" customHeight="1">
      <c r="A541" s="15"/>
      <c r="B541" s="15"/>
      <c r="C541" s="15"/>
      <c r="D541" s="15"/>
      <c r="E541" s="15"/>
      <c r="F541" s="26"/>
      <c r="G541" s="26"/>
      <c r="H541" s="15"/>
      <c r="I541" s="14"/>
      <c r="J541" s="9"/>
      <c r="L541" s="15"/>
      <c r="O541" s="4"/>
    </row>
    <row r="542" ht="15.75" customHeight="1">
      <c r="A542" s="15"/>
      <c r="B542" s="15"/>
      <c r="C542" s="15"/>
      <c r="D542" s="15"/>
      <c r="E542" s="15"/>
      <c r="F542" s="26"/>
      <c r="G542" s="26"/>
      <c r="H542" s="15"/>
      <c r="I542" s="14"/>
      <c r="J542" s="9"/>
      <c r="L542" s="15"/>
      <c r="O542" s="4"/>
    </row>
    <row r="543" ht="15.75" customHeight="1">
      <c r="A543" s="15"/>
      <c r="B543" s="15"/>
      <c r="C543" s="15"/>
      <c r="D543" s="15"/>
      <c r="E543" s="15"/>
      <c r="F543" s="26"/>
      <c r="G543" s="26"/>
      <c r="H543" s="15"/>
      <c r="I543" s="14"/>
      <c r="J543" s="9"/>
      <c r="L543" s="15"/>
      <c r="O543" s="4"/>
    </row>
    <row r="544" ht="15.75" customHeight="1">
      <c r="A544" s="15"/>
      <c r="B544" s="15"/>
      <c r="C544" s="15"/>
      <c r="D544" s="15"/>
      <c r="E544" s="15"/>
      <c r="F544" s="26"/>
      <c r="G544" s="26"/>
      <c r="H544" s="15"/>
      <c r="I544" s="14"/>
      <c r="J544" s="9"/>
      <c r="L544" s="15"/>
      <c r="O544" s="4"/>
    </row>
    <row r="545" ht="15.75" customHeight="1">
      <c r="A545" s="15"/>
      <c r="B545" s="15"/>
      <c r="C545" s="15"/>
      <c r="D545" s="15"/>
      <c r="E545" s="15"/>
      <c r="F545" s="26"/>
      <c r="G545" s="26"/>
      <c r="H545" s="15"/>
      <c r="I545" s="14"/>
      <c r="J545" s="9"/>
      <c r="L545" s="15"/>
      <c r="O545" s="4"/>
    </row>
    <row r="546" ht="15.75" customHeight="1">
      <c r="A546" s="15"/>
      <c r="B546" s="15"/>
      <c r="C546" s="15"/>
      <c r="D546" s="15"/>
      <c r="E546" s="15"/>
      <c r="F546" s="26"/>
      <c r="G546" s="26"/>
      <c r="H546" s="15"/>
      <c r="I546" s="14"/>
      <c r="J546" s="9"/>
      <c r="L546" s="15"/>
      <c r="O546" s="4"/>
    </row>
    <row r="547" ht="15.75" customHeight="1">
      <c r="A547" s="15"/>
      <c r="B547" s="15"/>
      <c r="C547" s="15"/>
      <c r="D547" s="15"/>
      <c r="E547" s="15"/>
      <c r="F547" s="26"/>
      <c r="G547" s="26"/>
      <c r="H547" s="15"/>
      <c r="I547" s="14"/>
      <c r="J547" s="9"/>
      <c r="L547" s="15"/>
      <c r="O547" s="4"/>
    </row>
    <row r="548" ht="15.75" customHeight="1">
      <c r="A548" s="15"/>
      <c r="B548" s="15"/>
      <c r="C548" s="15"/>
      <c r="D548" s="15"/>
      <c r="E548" s="15"/>
      <c r="F548" s="26"/>
      <c r="G548" s="26"/>
      <c r="H548" s="15"/>
      <c r="I548" s="14"/>
      <c r="J548" s="9"/>
      <c r="L548" s="15"/>
      <c r="O548" s="4"/>
    </row>
    <row r="549" ht="15.75" customHeight="1">
      <c r="A549" s="15"/>
      <c r="B549" s="15"/>
      <c r="C549" s="15"/>
      <c r="D549" s="15"/>
      <c r="E549" s="15"/>
      <c r="F549" s="26"/>
      <c r="G549" s="26"/>
      <c r="H549" s="15"/>
      <c r="I549" s="14"/>
      <c r="J549" s="9"/>
      <c r="L549" s="15"/>
      <c r="O549" s="4"/>
    </row>
    <row r="550" ht="15.75" customHeight="1">
      <c r="A550" s="15"/>
      <c r="B550" s="15"/>
      <c r="C550" s="15"/>
      <c r="D550" s="15"/>
      <c r="E550" s="15"/>
      <c r="F550" s="26"/>
      <c r="G550" s="26"/>
      <c r="H550" s="15"/>
      <c r="I550" s="14"/>
      <c r="J550" s="9"/>
      <c r="L550" s="15"/>
      <c r="O550" s="4"/>
    </row>
    <row r="551" ht="15.75" customHeight="1">
      <c r="A551" s="15"/>
      <c r="B551" s="15"/>
      <c r="C551" s="15"/>
      <c r="D551" s="15"/>
      <c r="E551" s="15"/>
      <c r="F551" s="26"/>
      <c r="G551" s="26"/>
      <c r="H551" s="15"/>
      <c r="I551" s="14"/>
      <c r="J551" s="9"/>
      <c r="L551" s="15"/>
      <c r="O551" s="4"/>
    </row>
    <row r="552" ht="15.75" customHeight="1">
      <c r="A552" s="15"/>
      <c r="B552" s="15"/>
      <c r="C552" s="15"/>
      <c r="D552" s="15"/>
      <c r="E552" s="15"/>
      <c r="F552" s="26"/>
      <c r="G552" s="26"/>
      <c r="H552" s="15"/>
      <c r="I552" s="14"/>
      <c r="J552" s="9"/>
      <c r="L552" s="15"/>
      <c r="O552" s="4"/>
    </row>
    <row r="553" ht="15.75" customHeight="1">
      <c r="A553" s="15"/>
      <c r="B553" s="15"/>
      <c r="C553" s="15"/>
      <c r="D553" s="15"/>
      <c r="E553" s="15"/>
      <c r="F553" s="26"/>
      <c r="G553" s="26"/>
      <c r="H553" s="15"/>
      <c r="I553" s="14"/>
      <c r="J553" s="9"/>
      <c r="L553" s="15"/>
      <c r="O553" s="4"/>
    </row>
    <row r="554" ht="15.75" customHeight="1">
      <c r="A554" s="15"/>
      <c r="B554" s="15"/>
      <c r="C554" s="15"/>
      <c r="D554" s="15"/>
      <c r="E554" s="15"/>
      <c r="F554" s="26"/>
      <c r="G554" s="26"/>
      <c r="H554" s="15"/>
      <c r="I554" s="14"/>
      <c r="J554" s="9"/>
      <c r="L554" s="15"/>
      <c r="O554" s="4"/>
    </row>
    <row r="555" ht="15.75" customHeight="1">
      <c r="A555" s="15"/>
      <c r="B555" s="15"/>
      <c r="C555" s="15"/>
      <c r="D555" s="15"/>
      <c r="E555" s="15"/>
      <c r="F555" s="26"/>
      <c r="G555" s="26"/>
      <c r="H555" s="15"/>
      <c r="I555" s="14"/>
      <c r="J555" s="9"/>
      <c r="L555" s="15"/>
      <c r="O555" s="4"/>
    </row>
    <row r="556" ht="15.75" customHeight="1">
      <c r="A556" s="15"/>
      <c r="B556" s="15"/>
      <c r="C556" s="15"/>
      <c r="D556" s="15"/>
      <c r="E556" s="15"/>
      <c r="F556" s="26"/>
      <c r="G556" s="26"/>
      <c r="H556" s="15"/>
      <c r="I556" s="14"/>
      <c r="J556" s="9"/>
      <c r="L556" s="15"/>
      <c r="O556" s="4"/>
    </row>
    <row r="557" ht="15.75" customHeight="1">
      <c r="A557" s="15"/>
      <c r="B557" s="15"/>
      <c r="C557" s="15"/>
      <c r="D557" s="15"/>
      <c r="E557" s="15"/>
      <c r="F557" s="26"/>
      <c r="G557" s="26"/>
      <c r="H557" s="15"/>
      <c r="I557" s="14"/>
      <c r="J557" s="9"/>
      <c r="L557" s="15"/>
      <c r="O557" s="4"/>
    </row>
    <row r="558" ht="15.75" customHeight="1">
      <c r="A558" s="15"/>
      <c r="B558" s="15"/>
      <c r="C558" s="15"/>
      <c r="D558" s="15"/>
      <c r="E558" s="15"/>
      <c r="F558" s="26"/>
      <c r="G558" s="26"/>
      <c r="H558" s="15"/>
      <c r="I558" s="14"/>
      <c r="J558" s="9"/>
      <c r="L558" s="15"/>
      <c r="O558" s="4"/>
    </row>
    <row r="559" ht="15.75" customHeight="1">
      <c r="A559" s="15"/>
      <c r="B559" s="15"/>
      <c r="C559" s="15"/>
      <c r="D559" s="15"/>
      <c r="E559" s="15"/>
      <c r="F559" s="26"/>
      <c r="G559" s="26"/>
      <c r="H559" s="15"/>
      <c r="I559" s="14"/>
      <c r="J559" s="9"/>
      <c r="L559" s="15"/>
      <c r="O559" s="4"/>
    </row>
    <row r="560" ht="15.75" customHeight="1">
      <c r="A560" s="15"/>
      <c r="B560" s="15"/>
      <c r="C560" s="15"/>
      <c r="D560" s="15"/>
      <c r="E560" s="15"/>
      <c r="F560" s="26"/>
      <c r="G560" s="26"/>
      <c r="H560" s="15"/>
      <c r="I560" s="14"/>
      <c r="J560" s="9"/>
      <c r="L560" s="15"/>
      <c r="O560" s="4"/>
    </row>
    <row r="561" ht="15.75" customHeight="1">
      <c r="A561" s="15"/>
      <c r="B561" s="15"/>
      <c r="C561" s="15"/>
      <c r="D561" s="15"/>
      <c r="E561" s="15"/>
      <c r="F561" s="26"/>
      <c r="G561" s="26"/>
      <c r="H561" s="15"/>
      <c r="I561" s="14"/>
      <c r="J561" s="9"/>
      <c r="L561" s="15"/>
      <c r="O561" s="4"/>
    </row>
    <row r="562" ht="15.75" customHeight="1">
      <c r="A562" s="15"/>
      <c r="B562" s="15"/>
      <c r="C562" s="15"/>
      <c r="D562" s="15"/>
      <c r="E562" s="15"/>
      <c r="F562" s="26"/>
      <c r="G562" s="26"/>
      <c r="H562" s="15"/>
      <c r="I562" s="14"/>
      <c r="J562" s="9"/>
      <c r="L562" s="15"/>
      <c r="O562" s="4"/>
    </row>
    <row r="563" ht="15.75" customHeight="1">
      <c r="A563" s="15"/>
      <c r="B563" s="15"/>
      <c r="C563" s="15"/>
      <c r="D563" s="15"/>
      <c r="E563" s="15"/>
      <c r="F563" s="26"/>
      <c r="G563" s="26"/>
      <c r="H563" s="15"/>
      <c r="I563" s="14"/>
      <c r="J563" s="9"/>
      <c r="L563" s="15"/>
      <c r="O563" s="4"/>
    </row>
    <row r="564" ht="15.75" customHeight="1">
      <c r="A564" s="15"/>
      <c r="B564" s="15"/>
      <c r="C564" s="15"/>
      <c r="D564" s="15"/>
      <c r="E564" s="15"/>
      <c r="F564" s="26"/>
      <c r="G564" s="26"/>
      <c r="H564" s="15"/>
      <c r="I564" s="14"/>
      <c r="J564" s="9"/>
      <c r="L564" s="15"/>
      <c r="O564" s="4"/>
    </row>
    <row r="565" ht="15.75" customHeight="1">
      <c r="A565" s="15"/>
      <c r="B565" s="15"/>
      <c r="C565" s="15"/>
      <c r="D565" s="15"/>
      <c r="E565" s="15"/>
      <c r="F565" s="26"/>
      <c r="G565" s="26"/>
      <c r="H565" s="15"/>
      <c r="I565" s="14"/>
      <c r="J565" s="9"/>
      <c r="L565" s="15"/>
      <c r="O565" s="4"/>
    </row>
    <row r="566" ht="15.75" customHeight="1">
      <c r="A566" s="15"/>
      <c r="B566" s="15"/>
      <c r="C566" s="15"/>
      <c r="D566" s="15"/>
      <c r="E566" s="15"/>
      <c r="F566" s="26"/>
      <c r="G566" s="26"/>
      <c r="H566" s="15"/>
      <c r="I566" s="14"/>
      <c r="J566" s="9"/>
      <c r="L566" s="15"/>
      <c r="O566" s="4"/>
    </row>
    <row r="567" ht="15.75" customHeight="1">
      <c r="A567" s="15"/>
      <c r="B567" s="15"/>
      <c r="C567" s="15"/>
      <c r="D567" s="15"/>
      <c r="E567" s="15"/>
      <c r="F567" s="26"/>
      <c r="G567" s="26"/>
      <c r="H567" s="15"/>
      <c r="I567" s="14"/>
      <c r="J567" s="9"/>
      <c r="L567" s="15"/>
      <c r="O567" s="4"/>
    </row>
    <row r="568" ht="15.75" customHeight="1">
      <c r="A568" s="15"/>
      <c r="B568" s="15"/>
      <c r="C568" s="15"/>
      <c r="D568" s="15"/>
      <c r="E568" s="15"/>
      <c r="F568" s="26"/>
      <c r="G568" s="26"/>
      <c r="H568" s="15"/>
      <c r="I568" s="14"/>
      <c r="J568" s="9"/>
      <c r="L568" s="15"/>
      <c r="O568" s="4"/>
    </row>
    <row r="569" ht="15.75" customHeight="1">
      <c r="A569" s="15"/>
      <c r="B569" s="15"/>
      <c r="C569" s="15"/>
      <c r="D569" s="15"/>
      <c r="E569" s="15"/>
      <c r="F569" s="26"/>
      <c r="G569" s="26"/>
      <c r="H569" s="15"/>
      <c r="I569" s="14"/>
      <c r="J569" s="9"/>
      <c r="L569" s="15"/>
      <c r="O569" s="4"/>
    </row>
    <row r="570" ht="15.75" customHeight="1">
      <c r="A570" s="15"/>
      <c r="B570" s="15"/>
      <c r="C570" s="15"/>
      <c r="D570" s="15"/>
      <c r="E570" s="15"/>
      <c r="F570" s="26"/>
      <c r="G570" s="26"/>
      <c r="H570" s="15"/>
      <c r="I570" s="14"/>
      <c r="J570" s="9"/>
      <c r="L570" s="15"/>
      <c r="O570" s="4"/>
    </row>
    <row r="571" ht="15.75" customHeight="1">
      <c r="A571" s="15"/>
      <c r="B571" s="15"/>
      <c r="C571" s="15"/>
      <c r="D571" s="15"/>
      <c r="E571" s="15"/>
      <c r="F571" s="26"/>
      <c r="G571" s="26"/>
      <c r="H571" s="15"/>
      <c r="I571" s="14"/>
      <c r="J571" s="9"/>
      <c r="L571" s="15"/>
      <c r="O571" s="4"/>
    </row>
    <row r="572" ht="15.75" customHeight="1">
      <c r="A572" s="15"/>
      <c r="B572" s="15"/>
      <c r="C572" s="15"/>
      <c r="D572" s="15"/>
      <c r="E572" s="15"/>
      <c r="F572" s="26"/>
      <c r="G572" s="26"/>
      <c r="H572" s="15"/>
      <c r="I572" s="14"/>
      <c r="J572" s="9"/>
      <c r="L572" s="15"/>
      <c r="O572" s="4"/>
    </row>
    <row r="573" ht="15.75" customHeight="1">
      <c r="A573" s="15"/>
      <c r="B573" s="15"/>
      <c r="C573" s="15"/>
      <c r="D573" s="15"/>
      <c r="E573" s="15"/>
      <c r="F573" s="26"/>
      <c r="G573" s="26"/>
      <c r="H573" s="15"/>
      <c r="I573" s="14"/>
      <c r="J573" s="9"/>
      <c r="L573" s="15"/>
      <c r="O573" s="4"/>
    </row>
    <row r="574" ht="15.75" customHeight="1">
      <c r="A574" s="15"/>
      <c r="B574" s="15"/>
      <c r="C574" s="15"/>
      <c r="D574" s="15"/>
      <c r="E574" s="15"/>
      <c r="F574" s="26"/>
      <c r="G574" s="26"/>
      <c r="H574" s="15"/>
      <c r="I574" s="14"/>
      <c r="J574" s="9"/>
      <c r="L574" s="15"/>
      <c r="O574" s="4"/>
    </row>
    <row r="575" ht="15.75" customHeight="1">
      <c r="A575" s="15"/>
      <c r="B575" s="15"/>
      <c r="C575" s="15"/>
      <c r="D575" s="15"/>
      <c r="E575" s="15"/>
      <c r="F575" s="26"/>
      <c r="G575" s="26"/>
      <c r="H575" s="15"/>
      <c r="I575" s="14"/>
      <c r="J575" s="9"/>
      <c r="L575" s="15"/>
      <c r="O575" s="4"/>
    </row>
    <row r="576" ht="15.75" customHeight="1">
      <c r="A576" s="15"/>
      <c r="B576" s="15"/>
      <c r="C576" s="15"/>
      <c r="D576" s="15"/>
      <c r="E576" s="15"/>
      <c r="F576" s="26"/>
      <c r="G576" s="26"/>
      <c r="H576" s="15"/>
      <c r="I576" s="14"/>
      <c r="J576" s="9"/>
      <c r="L576" s="15"/>
      <c r="O576" s="4"/>
    </row>
    <row r="577" ht="15.75" customHeight="1">
      <c r="A577" s="15"/>
      <c r="B577" s="15"/>
      <c r="C577" s="15"/>
      <c r="D577" s="15"/>
      <c r="E577" s="15"/>
      <c r="F577" s="26"/>
      <c r="G577" s="26"/>
      <c r="H577" s="15"/>
      <c r="I577" s="14"/>
      <c r="J577" s="9"/>
      <c r="L577" s="15"/>
      <c r="O577" s="4"/>
    </row>
    <row r="578" ht="15.75" customHeight="1">
      <c r="A578" s="15"/>
      <c r="B578" s="15"/>
      <c r="C578" s="15"/>
      <c r="D578" s="15"/>
      <c r="E578" s="15"/>
      <c r="F578" s="26"/>
      <c r="G578" s="26"/>
      <c r="H578" s="15"/>
      <c r="I578" s="14"/>
      <c r="J578" s="9"/>
      <c r="L578" s="15"/>
      <c r="O578" s="4"/>
    </row>
    <row r="579" ht="15.75" customHeight="1">
      <c r="A579" s="15"/>
      <c r="B579" s="15"/>
      <c r="C579" s="15"/>
      <c r="D579" s="15"/>
      <c r="E579" s="15"/>
      <c r="F579" s="26"/>
      <c r="G579" s="26"/>
      <c r="H579" s="15"/>
      <c r="I579" s="14"/>
      <c r="J579" s="9"/>
      <c r="L579" s="15"/>
      <c r="O579" s="4"/>
    </row>
    <row r="580" ht="15.75" customHeight="1">
      <c r="A580" s="15"/>
      <c r="B580" s="15"/>
      <c r="C580" s="15"/>
      <c r="D580" s="15"/>
      <c r="E580" s="15"/>
      <c r="F580" s="26"/>
      <c r="G580" s="26"/>
      <c r="H580" s="15"/>
      <c r="I580" s="14"/>
      <c r="J580" s="9"/>
      <c r="L580" s="15"/>
      <c r="O580" s="4"/>
    </row>
    <row r="581" ht="15.75" customHeight="1">
      <c r="A581" s="15"/>
      <c r="B581" s="15"/>
      <c r="C581" s="15"/>
      <c r="D581" s="15"/>
      <c r="E581" s="15"/>
      <c r="F581" s="26"/>
      <c r="G581" s="26"/>
      <c r="H581" s="15"/>
      <c r="I581" s="14"/>
      <c r="J581" s="9"/>
      <c r="L581" s="15"/>
      <c r="O581" s="4"/>
    </row>
    <row r="582" ht="15.75" customHeight="1">
      <c r="A582" s="15"/>
      <c r="B582" s="15"/>
      <c r="C582" s="15"/>
      <c r="D582" s="15"/>
      <c r="E582" s="15"/>
      <c r="F582" s="26"/>
      <c r="G582" s="26"/>
      <c r="H582" s="15"/>
      <c r="I582" s="14"/>
      <c r="J582" s="9"/>
      <c r="L582" s="15"/>
      <c r="O582" s="4"/>
    </row>
    <row r="583" ht="15.75" customHeight="1">
      <c r="A583" s="15"/>
      <c r="B583" s="15"/>
      <c r="C583" s="15"/>
      <c r="D583" s="15"/>
      <c r="E583" s="15"/>
      <c r="F583" s="26"/>
      <c r="G583" s="26"/>
      <c r="H583" s="15"/>
      <c r="I583" s="14"/>
      <c r="J583" s="9"/>
      <c r="L583" s="15"/>
      <c r="O583" s="4"/>
    </row>
    <row r="584" ht="15.75" customHeight="1">
      <c r="A584" s="15"/>
      <c r="B584" s="15"/>
      <c r="C584" s="15"/>
      <c r="D584" s="15"/>
      <c r="E584" s="15"/>
      <c r="F584" s="26"/>
      <c r="G584" s="26"/>
      <c r="H584" s="15"/>
      <c r="I584" s="14"/>
      <c r="J584" s="9"/>
      <c r="L584" s="15"/>
      <c r="O584" s="4"/>
    </row>
    <row r="585" ht="15.75" customHeight="1">
      <c r="A585" s="15"/>
      <c r="B585" s="15"/>
      <c r="C585" s="15"/>
      <c r="D585" s="15"/>
      <c r="E585" s="15"/>
      <c r="F585" s="26"/>
      <c r="G585" s="26"/>
      <c r="H585" s="15"/>
      <c r="I585" s="14"/>
      <c r="J585" s="9"/>
      <c r="L585" s="15"/>
      <c r="O585" s="4"/>
    </row>
    <row r="586" ht="15.75" customHeight="1">
      <c r="A586" s="15"/>
      <c r="B586" s="15"/>
      <c r="C586" s="15"/>
      <c r="D586" s="15"/>
      <c r="E586" s="15"/>
      <c r="F586" s="26"/>
      <c r="G586" s="26"/>
      <c r="H586" s="15"/>
      <c r="I586" s="14"/>
      <c r="J586" s="9"/>
      <c r="L586" s="15"/>
      <c r="O586" s="4"/>
    </row>
    <row r="587" ht="15.75" customHeight="1">
      <c r="A587" s="15"/>
      <c r="B587" s="15"/>
      <c r="C587" s="15"/>
      <c r="D587" s="15"/>
      <c r="E587" s="15"/>
      <c r="F587" s="26"/>
      <c r="G587" s="26"/>
      <c r="H587" s="15"/>
      <c r="I587" s="14"/>
      <c r="J587" s="9"/>
      <c r="L587" s="15"/>
      <c r="O587" s="4"/>
    </row>
    <row r="588" ht="15.75" customHeight="1">
      <c r="A588" s="15"/>
      <c r="B588" s="15"/>
      <c r="C588" s="15"/>
      <c r="D588" s="15"/>
      <c r="E588" s="15"/>
      <c r="F588" s="26"/>
      <c r="G588" s="26"/>
      <c r="H588" s="15"/>
      <c r="I588" s="14"/>
      <c r="J588" s="9"/>
      <c r="L588" s="15"/>
      <c r="O588" s="4"/>
    </row>
    <row r="589" ht="15.75" customHeight="1">
      <c r="A589" s="15"/>
      <c r="B589" s="15"/>
      <c r="C589" s="15"/>
      <c r="D589" s="15"/>
      <c r="E589" s="15"/>
      <c r="F589" s="26"/>
      <c r="G589" s="26"/>
      <c r="H589" s="15"/>
      <c r="I589" s="14"/>
      <c r="J589" s="9"/>
      <c r="L589" s="15"/>
      <c r="O589" s="4"/>
    </row>
    <row r="590" ht="15.75" customHeight="1">
      <c r="A590" s="15"/>
      <c r="B590" s="15"/>
      <c r="C590" s="15"/>
      <c r="D590" s="15"/>
      <c r="E590" s="15"/>
      <c r="F590" s="26"/>
      <c r="G590" s="26"/>
      <c r="H590" s="15"/>
      <c r="I590" s="14"/>
      <c r="J590" s="9"/>
      <c r="L590" s="15"/>
      <c r="O590" s="4"/>
    </row>
    <row r="591" ht="15.75" customHeight="1">
      <c r="A591" s="15"/>
      <c r="B591" s="15"/>
      <c r="C591" s="15"/>
      <c r="D591" s="15"/>
      <c r="E591" s="15"/>
      <c r="F591" s="26"/>
      <c r="G591" s="26"/>
      <c r="H591" s="15"/>
      <c r="I591" s="14"/>
      <c r="J591" s="9"/>
      <c r="L591" s="15"/>
      <c r="O591" s="4"/>
    </row>
    <row r="592" ht="15.75" customHeight="1">
      <c r="A592" s="15"/>
      <c r="B592" s="15"/>
      <c r="C592" s="15"/>
      <c r="D592" s="15"/>
      <c r="E592" s="15"/>
      <c r="F592" s="26"/>
      <c r="G592" s="26"/>
      <c r="H592" s="15"/>
      <c r="I592" s="14"/>
      <c r="J592" s="9"/>
      <c r="L592" s="15"/>
      <c r="O592" s="4"/>
    </row>
    <row r="593" ht="15.75" customHeight="1">
      <c r="A593" s="15"/>
      <c r="B593" s="15"/>
      <c r="C593" s="15"/>
      <c r="D593" s="15"/>
      <c r="E593" s="15"/>
      <c r="F593" s="26"/>
      <c r="G593" s="26"/>
      <c r="H593" s="15"/>
      <c r="I593" s="14"/>
      <c r="J593" s="9"/>
      <c r="L593" s="15"/>
      <c r="O593" s="4"/>
    </row>
    <row r="594" ht="15.75" customHeight="1">
      <c r="A594" s="15"/>
      <c r="B594" s="15"/>
      <c r="C594" s="15"/>
      <c r="D594" s="15"/>
      <c r="E594" s="15"/>
      <c r="F594" s="26"/>
      <c r="G594" s="26"/>
      <c r="H594" s="15"/>
      <c r="I594" s="14"/>
      <c r="J594" s="9"/>
      <c r="L594" s="15"/>
      <c r="O594" s="4"/>
    </row>
    <row r="595" ht="15.75" customHeight="1">
      <c r="A595" s="15"/>
      <c r="B595" s="15"/>
      <c r="C595" s="15"/>
      <c r="D595" s="15"/>
      <c r="E595" s="15"/>
      <c r="F595" s="26"/>
      <c r="G595" s="26"/>
      <c r="H595" s="15"/>
      <c r="I595" s="14"/>
      <c r="J595" s="9"/>
      <c r="L595" s="15"/>
      <c r="O595" s="4"/>
    </row>
    <row r="596" ht="15.75" customHeight="1">
      <c r="A596" s="15"/>
      <c r="B596" s="15"/>
      <c r="C596" s="15"/>
      <c r="D596" s="15"/>
      <c r="E596" s="15"/>
      <c r="F596" s="26"/>
      <c r="G596" s="26"/>
      <c r="H596" s="15"/>
      <c r="I596" s="14"/>
      <c r="J596" s="9"/>
      <c r="L596" s="15"/>
      <c r="O596" s="4"/>
    </row>
    <row r="597" ht="15.75" customHeight="1">
      <c r="A597" s="15"/>
      <c r="B597" s="15"/>
      <c r="C597" s="15"/>
      <c r="D597" s="15"/>
      <c r="E597" s="15"/>
      <c r="F597" s="26"/>
      <c r="G597" s="26"/>
      <c r="H597" s="15"/>
      <c r="I597" s="14"/>
      <c r="J597" s="9"/>
      <c r="L597" s="15"/>
      <c r="O597" s="4"/>
    </row>
    <row r="598" ht="15.75" customHeight="1">
      <c r="A598" s="15"/>
      <c r="B598" s="15"/>
      <c r="C598" s="15"/>
      <c r="D598" s="15"/>
      <c r="E598" s="15"/>
      <c r="F598" s="26"/>
      <c r="G598" s="26"/>
      <c r="H598" s="15"/>
      <c r="I598" s="14"/>
      <c r="J598" s="9"/>
      <c r="L598" s="15"/>
      <c r="O598" s="4"/>
    </row>
    <row r="599" ht="15.75" customHeight="1">
      <c r="A599" s="15"/>
      <c r="B599" s="15"/>
      <c r="C599" s="15"/>
      <c r="D599" s="15"/>
      <c r="E599" s="15"/>
      <c r="F599" s="26"/>
      <c r="G599" s="26"/>
      <c r="H599" s="15"/>
      <c r="I599" s="14"/>
      <c r="J599" s="9"/>
      <c r="L599" s="15"/>
      <c r="O599" s="4"/>
    </row>
    <row r="600" ht="15.75" customHeight="1">
      <c r="A600" s="15"/>
      <c r="B600" s="15"/>
      <c r="C600" s="15"/>
      <c r="D600" s="15"/>
      <c r="E600" s="15"/>
      <c r="F600" s="26"/>
      <c r="G600" s="26"/>
      <c r="H600" s="15"/>
      <c r="I600" s="14"/>
      <c r="J600" s="9"/>
      <c r="L600" s="15"/>
      <c r="O600" s="4"/>
    </row>
    <row r="601" ht="15.75" customHeight="1">
      <c r="A601" s="15"/>
      <c r="B601" s="15"/>
      <c r="C601" s="15"/>
      <c r="D601" s="15"/>
      <c r="E601" s="15"/>
      <c r="F601" s="26"/>
      <c r="G601" s="26"/>
      <c r="H601" s="15"/>
      <c r="I601" s="14"/>
      <c r="J601" s="9"/>
      <c r="L601" s="15"/>
      <c r="O601" s="4"/>
    </row>
    <row r="602" ht="15.75" customHeight="1">
      <c r="A602" s="15"/>
      <c r="B602" s="15"/>
      <c r="C602" s="15"/>
      <c r="D602" s="15"/>
      <c r="E602" s="15"/>
      <c r="F602" s="26"/>
      <c r="G602" s="26"/>
      <c r="H602" s="15"/>
      <c r="I602" s="14"/>
      <c r="J602" s="9"/>
      <c r="L602" s="15"/>
      <c r="O602" s="4"/>
    </row>
    <row r="603" ht="15.75" customHeight="1">
      <c r="A603" s="15"/>
      <c r="B603" s="15"/>
      <c r="C603" s="15"/>
      <c r="D603" s="15"/>
      <c r="E603" s="15"/>
      <c r="F603" s="26"/>
      <c r="G603" s="26"/>
      <c r="H603" s="15"/>
      <c r="I603" s="14"/>
      <c r="J603" s="9"/>
      <c r="L603" s="15"/>
      <c r="O603" s="4"/>
    </row>
    <row r="604" ht="15.75" customHeight="1">
      <c r="A604" s="15"/>
      <c r="B604" s="15"/>
      <c r="C604" s="15"/>
      <c r="D604" s="15"/>
      <c r="E604" s="15"/>
      <c r="F604" s="26"/>
      <c r="G604" s="26"/>
      <c r="H604" s="15"/>
      <c r="I604" s="14"/>
      <c r="J604" s="9"/>
      <c r="L604" s="15"/>
      <c r="O604" s="4"/>
    </row>
    <row r="605" ht="15.75" customHeight="1">
      <c r="A605" s="15"/>
      <c r="B605" s="15"/>
      <c r="C605" s="15"/>
      <c r="D605" s="15"/>
      <c r="E605" s="15"/>
      <c r="F605" s="26"/>
      <c r="G605" s="26"/>
      <c r="H605" s="15"/>
      <c r="I605" s="14"/>
      <c r="J605" s="9"/>
      <c r="L605" s="15"/>
      <c r="O605" s="4"/>
    </row>
    <row r="606" ht="15.75" customHeight="1">
      <c r="A606" s="15"/>
      <c r="B606" s="15"/>
      <c r="C606" s="15"/>
      <c r="D606" s="15"/>
      <c r="E606" s="15"/>
      <c r="F606" s="26"/>
      <c r="G606" s="26"/>
      <c r="H606" s="15"/>
      <c r="I606" s="14"/>
      <c r="J606" s="9"/>
      <c r="L606" s="15"/>
      <c r="O606" s="4"/>
    </row>
    <row r="607" ht="15.75" customHeight="1">
      <c r="A607" s="15"/>
      <c r="B607" s="15"/>
      <c r="C607" s="15"/>
      <c r="D607" s="15"/>
      <c r="E607" s="15"/>
      <c r="F607" s="26"/>
      <c r="G607" s="26"/>
      <c r="H607" s="15"/>
      <c r="I607" s="14"/>
      <c r="J607" s="9"/>
      <c r="L607" s="15"/>
      <c r="O607" s="4"/>
    </row>
    <row r="608" ht="15.75" customHeight="1">
      <c r="A608" s="15"/>
      <c r="B608" s="15"/>
      <c r="C608" s="15"/>
      <c r="D608" s="15"/>
      <c r="E608" s="15"/>
      <c r="F608" s="26"/>
      <c r="G608" s="26"/>
      <c r="H608" s="15"/>
      <c r="I608" s="14"/>
      <c r="J608" s="9"/>
      <c r="L608" s="15"/>
      <c r="O608" s="4"/>
    </row>
    <row r="609" ht="15.75" customHeight="1">
      <c r="A609" s="15"/>
      <c r="B609" s="15"/>
      <c r="C609" s="15"/>
      <c r="D609" s="15"/>
      <c r="E609" s="15"/>
      <c r="F609" s="26"/>
      <c r="G609" s="26"/>
      <c r="H609" s="15"/>
      <c r="I609" s="14"/>
      <c r="J609" s="9"/>
      <c r="L609" s="15"/>
      <c r="O609" s="4"/>
    </row>
    <row r="610" ht="15.75" customHeight="1">
      <c r="A610" s="15"/>
      <c r="B610" s="15"/>
      <c r="C610" s="15"/>
      <c r="D610" s="15"/>
      <c r="E610" s="15"/>
      <c r="F610" s="26"/>
      <c r="G610" s="26"/>
      <c r="H610" s="15"/>
      <c r="I610" s="14"/>
      <c r="J610" s="9"/>
      <c r="L610" s="15"/>
      <c r="O610" s="4"/>
    </row>
    <row r="611" ht="15.75" customHeight="1">
      <c r="A611" s="15"/>
      <c r="B611" s="15"/>
      <c r="C611" s="15"/>
      <c r="D611" s="15"/>
      <c r="E611" s="15"/>
      <c r="F611" s="26"/>
      <c r="G611" s="26"/>
      <c r="H611" s="15"/>
      <c r="I611" s="14"/>
      <c r="J611" s="9"/>
      <c r="L611" s="15"/>
      <c r="O611" s="4"/>
    </row>
    <row r="612" ht="15.75" customHeight="1">
      <c r="A612" s="15"/>
      <c r="B612" s="15"/>
      <c r="C612" s="15"/>
      <c r="D612" s="15"/>
      <c r="E612" s="15"/>
      <c r="F612" s="26"/>
      <c r="G612" s="26"/>
      <c r="H612" s="15"/>
      <c r="I612" s="14"/>
      <c r="J612" s="9"/>
      <c r="L612" s="15"/>
      <c r="O612" s="4"/>
    </row>
    <row r="613" ht="15.75" customHeight="1">
      <c r="A613" s="15"/>
      <c r="B613" s="15"/>
      <c r="C613" s="15"/>
      <c r="D613" s="15"/>
      <c r="E613" s="15"/>
      <c r="F613" s="26"/>
      <c r="G613" s="26"/>
      <c r="H613" s="15"/>
      <c r="I613" s="14"/>
      <c r="J613" s="9"/>
      <c r="L613" s="15"/>
      <c r="O613" s="4"/>
    </row>
    <row r="614" ht="15.75" customHeight="1">
      <c r="A614" s="15"/>
      <c r="B614" s="15"/>
      <c r="C614" s="15"/>
      <c r="D614" s="15"/>
      <c r="E614" s="15"/>
      <c r="F614" s="26"/>
      <c r="G614" s="26"/>
      <c r="H614" s="15"/>
      <c r="I614" s="14"/>
      <c r="J614" s="9"/>
      <c r="L614" s="15"/>
      <c r="O614" s="4"/>
    </row>
    <row r="615" ht="15.75" customHeight="1">
      <c r="A615" s="15"/>
      <c r="B615" s="15"/>
      <c r="C615" s="15"/>
      <c r="D615" s="15"/>
      <c r="E615" s="15"/>
      <c r="F615" s="26"/>
      <c r="G615" s="26"/>
      <c r="H615" s="15"/>
      <c r="I615" s="14"/>
      <c r="J615" s="9"/>
      <c r="L615" s="15"/>
      <c r="O615" s="4"/>
    </row>
    <row r="616" ht="15.75" customHeight="1">
      <c r="A616" s="15"/>
      <c r="B616" s="15"/>
      <c r="C616" s="15"/>
      <c r="D616" s="15"/>
      <c r="E616" s="15"/>
      <c r="F616" s="26"/>
      <c r="G616" s="26"/>
      <c r="H616" s="15"/>
      <c r="I616" s="14"/>
      <c r="J616" s="9"/>
      <c r="L616" s="15"/>
      <c r="O616" s="4"/>
    </row>
    <row r="617" ht="15.75" customHeight="1">
      <c r="A617" s="15"/>
      <c r="B617" s="15"/>
      <c r="C617" s="15"/>
      <c r="D617" s="15"/>
      <c r="E617" s="15"/>
      <c r="F617" s="26"/>
      <c r="G617" s="26"/>
      <c r="H617" s="15"/>
      <c r="I617" s="14"/>
      <c r="J617" s="9"/>
      <c r="L617" s="15"/>
      <c r="O617" s="4"/>
    </row>
    <row r="618" ht="15.75" customHeight="1">
      <c r="A618" s="15"/>
      <c r="B618" s="15"/>
      <c r="C618" s="15"/>
      <c r="D618" s="15"/>
      <c r="E618" s="15"/>
      <c r="F618" s="26"/>
      <c r="G618" s="26"/>
      <c r="H618" s="15"/>
      <c r="I618" s="14"/>
      <c r="J618" s="9"/>
      <c r="L618" s="15"/>
      <c r="O618" s="4"/>
    </row>
    <row r="619" ht="15.75" customHeight="1">
      <c r="A619" s="15"/>
      <c r="B619" s="15"/>
      <c r="C619" s="15"/>
      <c r="D619" s="15"/>
      <c r="E619" s="15"/>
      <c r="F619" s="26"/>
      <c r="G619" s="26"/>
      <c r="H619" s="15"/>
      <c r="I619" s="14"/>
      <c r="J619" s="9"/>
      <c r="L619" s="15"/>
      <c r="O619" s="4"/>
    </row>
    <row r="620" ht="15.75" customHeight="1">
      <c r="A620" s="15"/>
      <c r="B620" s="15"/>
      <c r="C620" s="15"/>
      <c r="D620" s="15"/>
      <c r="E620" s="15"/>
      <c r="F620" s="26"/>
      <c r="G620" s="26"/>
      <c r="H620" s="15"/>
      <c r="I620" s="14"/>
      <c r="J620" s="9"/>
      <c r="L620" s="15"/>
      <c r="O620" s="4"/>
    </row>
    <row r="621" ht="15.75" customHeight="1">
      <c r="A621" s="15"/>
      <c r="B621" s="15"/>
      <c r="C621" s="15"/>
      <c r="D621" s="15"/>
      <c r="E621" s="15"/>
      <c r="F621" s="26"/>
      <c r="G621" s="26"/>
      <c r="H621" s="15"/>
      <c r="I621" s="14"/>
      <c r="J621" s="9"/>
      <c r="L621" s="15"/>
      <c r="O621" s="4"/>
    </row>
    <row r="622" ht="15.75" customHeight="1">
      <c r="A622" s="15"/>
      <c r="B622" s="15"/>
      <c r="C622" s="15"/>
      <c r="D622" s="15"/>
      <c r="E622" s="15"/>
      <c r="F622" s="26"/>
      <c r="G622" s="26"/>
      <c r="H622" s="15"/>
      <c r="I622" s="14"/>
      <c r="J622" s="9"/>
      <c r="L622" s="15"/>
      <c r="O622" s="4"/>
    </row>
    <row r="623" ht="15.75" customHeight="1">
      <c r="A623" s="15"/>
      <c r="B623" s="15"/>
      <c r="C623" s="15"/>
      <c r="D623" s="15"/>
      <c r="E623" s="15"/>
      <c r="F623" s="26"/>
      <c r="G623" s="26"/>
      <c r="H623" s="15"/>
      <c r="I623" s="15"/>
      <c r="J623" s="15"/>
      <c r="L623" s="15"/>
    </row>
    <row r="624" ht="15.75" customHeight="1">
      <c r="A624" s="15"/>
      <c r="B624" s="15"/>
      <c r="C624" s="15"/>
      <c r="D624" s="15"/>
      <c r="E624" s="15"/>
      <c r="F624" s="26"/>
      <c r="G624" s="26"/>
      <c r="H624" s="15"/>
      <c r="I624" s="15"/>
      <c r="J624" s="15"/>
      <c r="L624" s="15"/>
    </row>
    <row r="625" ht="15.75" customHeight="1">
      <c r="A625" s="15"/>
      <c r="B625" s="15"/>
      <c r="C625" s="15"/>
      <c r="D625" s="15"/>
      <c r="E625" s="15"/>
      <c r="F625" s="26"/>
      <c r="G625" s="26"/>
      <c r="H625" s="15"/>
      <c r="I625" s="15"/>
      <c r="J625" s="15"/>
      <c r="L625" s="15"/>
    </row>
    <row r="626" ht="15.75" customHeight="1">
      <c r="A626" s="15"/>
      <c r="B626" s="15"/>
      <c r="C626" s="15"/>
      <c r="D626" s="15"/>
      <c r="E626" s="15"/>
      <c r="F626" s="15"/>
      <c r="G626" s="15"/>
      <c r="H626" s="15"/>
      <c r="I626" s="15"/>
      <c r="J626" s="15"/>
      <c r="L626" s="15"/>
    </row>
    <row r="627" ht="15.75" customHeight="1">
      <c r="A627" s="15"/>
      <c r="B627" s="15"/>
      <c r="C627" s="15"/>
      <c r="D627" s="15"/>
      <c r="E627" s="15"/>
      <c r="F627" s="15"/>
      <c r="G627" s="15"/>
      <c r="H627" s="15"/>
      <c r="I627" s="15"/>
      <c r="J627" s="15"/>
      <c r="L627" s="15"/>
    </row>
    <row r="628" ht="15.75" customHeight="1">
      <c r="A628" s="15"/>
      <c r="B628" s="15"/>
      <c r="C628" s="15"/>
      <c r="D628" s="15"/>
      <c r="E628" s="15"/>
      <c r="F628" s="15"/>
      <c r="G628" s="15"/>
      <c r="H628" s="15"/>
      <c r="I628" s="15"/>
      <c r="J628" s="15"/>
      <c r="L628" s="15"/>
    </row>
    <row r="629" ht="15.75" customHeight="1">
      <c r="A629" s="15"/>
      <c r="B629" s="15"/>
      <c r="C629" s="15"/>
      <c r="D629" s="15"/>
      <c r="E629" s="15"/>
      <c r="F629" s="15"/>
      <c r="G629" s="15"/>
      <c r="H629" s="15"/>
      <c r="I629" s="15"/>
      <c r="J629" s="15"/>
      <c r="L629" s="15"/>
    </row>
    <row r="630" ht="15.75" customHeight="1">
      <c r="A630" s="15"/>
      <c r="B630" s="15"/>
      <c r="C630" s="15"/>
      <c r="D630" s="15"/>
      <c r="E630" s="15"/>
      <c r="F630" s="15"/>
      <c r="G630" s="15"/>
      <c r="H630" s="15"/>
      <c r="I630" s="15"/>
      <c r="J630" s="15"/>
      <c r="L630" s="15"/>
    </row>
    <row r="631" ht="15.75" customHeight="1">
      <c r="A631" s="15"/>
      <c r="B631" s="15"/>
      <c r="C631" s="15"/>
      <c r="D631" s="15"/>
      <c r="E631" s="15"/>
      <c r="F631" s="15"/>
      <c r="G631" s="15"/>
      <c r="H631" s="15"/>
      <c r="I631" s="15"/>
      <c r="J631" s="15"/>
      <c r="L631" s="15"/>
    </row>
    <row r="632" ht="15.75" customHeight="1">
      <c r="A632" s="15"/>
      <c r="B632" s="15"/>
      <c r="C632" s="15"/>
      <c r="D632" s="15"/>
      <c r="E632" s="15"/>
      <c r="F632" s="15"/>
      <c r="G632" s="15"/>
      <c r="H632" s="15"/>
      <c r="I632" s="15"/>
      <c r="J632" s="15"/>
      <c r="L632" s="15"/>
    </row>
    <row r="633" ht="15.75" customHeight="1">
      <c r="A633" s="15"/>
      <c r="B633" s="15"/>
      <c r="C633" s="15"/>
      <c r="D633" s="15"/>
      <c r="E633" s="15"/>
      <c r="F633" s="15"/>
      <c r="G633" s="15"/>
      <c r="H633" s="15"/>
      <c r="I633" s="15"/>
      <c r="J633" s="15"/>
      <c r="L633" s="15"/>
    </row>
    <row r="634" ht="15.75" customHeight="1">
      <c r="A634" s="15"/>
      <c r="B634" s="15"/>
      <c r="C634" s="15"/>
      <c r="D634" s="15"/>
      <c r="E634" s="15"/>
      <c r="F634" s="15"/>
      <c r="G634" s="15"/>
      <c r="H634" s="15"/>
      <c r="I634" s="15"/>
      <c r="J634" s="15"/>
      <c r="L634" s="15"/>
    </row>
    <row r="635" ht="15.75" customHeight="1">
      <c r="A635" s="15"/>
      <c r="B635" s="15"/>
      <c r="C635" s="15"/>
      <c r="D635" s="15"/>
      <c r="E635" s="15"/>
      <c r="F635" s="15"/>
      <c r="G635" s="15"/>
      <c r="H635" s="15"/>
      <c r="I635" s="15"/>
      <c r="J635" s="15"/>
      <c r="L635" s="15"/>
    </row>
    <row r="636" ht="15.75" customHeight="1">
      <c r="A636" s="15"/>
      <c r="B636" s="15"/>
      <c r="C636" s="15"/>
      <c r="D636" s="15"/>
      <c r="E636" s="15"/>
      <c r="F636" s="15"/>
      <c r="G636" s="15"/>
      <c r="H636" s="15"/>
      <c r="I636" s="15"/>
      <c r="J636" s="15"/>
      <c r="L636" s="15"/>
    </row>
    <row r="637" ht="15.75" customHeight="1">
      <c r="A637" s="15"/>
      <c r="B637" s="15"/>
      <c r="C637" s="15"/>
      <c r="D637" s="15"/>
      <c r="E637" s="15"/>
      <c r="F637" s="15"/>
      <c r="G637" s="15"/>
      <c r="H637" s="15"/>
      <c r="I637" s="15"/>
      <c r="J637" s="15"/>
      <c r="L637" s="15"/>
    </row>
    <row r="638" ht="15.75" customHeight="1">
      <c r="A638" s="15"/>
      <c r="B638" s="15"/>
      <c r="C638" s="15"/>
      <c r="D638" s="15"/>
      <c r="E638" s="15"/>
      <c r="F638" s="15"/>
      <c r="G638" s="15"/>
      <c r="H638" s="15"/>
      <c r="I638" s="15"/>
      <c r="J638" s="15"/>
      <c r="L638" s="15"/>
    </row>
    <row r="639" ht="15.75" customHeight="1">
      <c r="A639" s="15"/>
      <c r="B639" s="15"/>
      <c r="C639" s="15"/>
      <c r="D639" s="15"/>
      <c r="E639" s="15"/>
      <c r="F639" s="15"/>
      <c r="G639" s="15"/>
      <c r="H639" s="15"/>
      <c r="I639" s="15"/>
      <c r="J639" s="15"/>
      <c r="L639" s="15"/>
    </row>
    <row r="640" ht="15.75" customHeight="1">
      <c r="A640" s="15"/>
      <c r="B640" s="15"/>
      <c r="C640" s="15"/>
      <c r="D640" s="15"/>
      <c r="E640" s="15"/>
      <c r="F640" s="15"/>
      <c r="G640" s="15"/>
      <c r="H640" s="15"/>
      <c r="I640" s="15"/>
      <c r="J640" s="15"/>
      <c r="L640" s="15"/>
    </row>
    <row r="641" ht="15.75" customHeight="1">
      <c r="A641" s="15"/>
      <c r="B641" s="15"/>
      <c r="C641" s="15"/>
      <c r="D641" s="15"/>
      <c r="E641" s="15"/>
      <c r="F641" s="15"/>
      <c r="G641" s="15"/>
      <c r="H641" s="15"/>
      <c r="I641" s="15"/>
      <c r="J641" s="15"/>
      <c r="L641" s="15"/>
    </row>
    <row r="642" ht="15.75" customHeight="1">
      <c r="A642" s="15"/>
      <c r="B642" s="15"/>
      <c r="C642" s="15"/>
      <c r="D642" s="15"/>
      <c r="E642" s="15"/>
      <c r="F642" s="15"/>
      <c r="G642" s="15"/>
      <c r="H642" s="15"/>
      <c r="I642" s="15"/>
      <c r="J642" s="15"/>
      <c r="L642" s="15"/>
    </row>
    <row r="643" ht="15.75" customHeight="1">
      <c r="A643" s="15"/>
      <c r="B643" s="15"/>
      <c r="C643" s="15"/>
      <c r="D643" s="15"/>
      <c r="E643" s="15"/>
      <c r="F643" s="15"/>
      <c r="G643" s="15"/>
      <c r="H643" s="15"/>
      <c r="I643" s="15"/>
      <c r="J643" s="15"/>
      <c r="L643" s="15"/>
    </row>
    <row r="644" ht="15.75" customHeight="1">
      <c r="A644" s="15"/>
      <c r="B644" s="15"/>
      <c r="C644" s="15"/>
      <c r="D644" s="15"/>
      <c r="E644" s="15"/>
      <c r="F644" s="15"/>
      <c r="G644" s="15"/>
      <c r="H644" s="15"/>
      <c r="I644" s="15"/>
      <c r="J644" s="15"/>
      <c r="L644" s="15"/>
    </row>
    <row r="645" ht="15.75" customHeight="1">
      <c r="A645" s="15"/>
      <c r="B645" s="15"/>
      <c r="C645" s="15"/>
      <c r="D645" s="15"/>
      <c r="E645" s="15"/>
      <c r="F645" s="15"/>
      <c r="G645" s="15"/>
      <c r="H645" s="15"/>
      <c r="I645" s="15"/>
      <c r="J645" s="15"/>
      <c r="L645" s="15"/>
    </row>
    <row r="646" ht="15.75" customHeight="1">
      <c r="A646" s="15"/>
      <c r="B646" s="15"/>
      <c r="C646" s="15"/>
      <c r="D646" s="15"/>
      <c r="E646" s="15"/>
      <c r="F646" s="15"/>
      <c r="G646" s="15"/>
      <c r="H646" s="15"/>
      <c r="I646" s="15"/>
      <c r="J646" s="15"/>
      <c r="L646" s="15"/>
    </row>
    <row r="647" ht="15.75" customHeight="1">
      <c r="A647" s="15"/>
      <c r="B647" s="15"/>
      <c r="C647" s="15"/>
      <c r="D647" s="15"/>
      <c r="E647" s="15"/>
      <c r="F647" s="15"/>
      <c r="G647" s="15"/>
      <c r="H647" s="15"/>
      <c r="I647" s="15"/>
      <c r="J647" s="15"/>
      <c r="L647" s="15"/>
    </row>
    <row r="648" ht="15.75" customHeight="1">
      <c r="A648" s="15"/>
      <c r="B648" s="15"/>
      <c r="C648" s="15"/>
      <c r="D648" s="15"/>
      <c r="E648" s="15"/>
      <c r="F648" s="15"/>
      <c r="G648" s="15"/>
      <c r="H648" s="15"/>
      <c r="I648" s="15"/>
      <c r="J648" s="15"/>
      <c r="L648" s="15"/>
    </row>
    <row r="649" ht="15.75" customHeight="1">
      <c r="A649" s="15"/>
      <c r="B649" s="15"/>
      <c r="C649" s="15"/>
      <c r="D649" s="15"/>
      <c r="E649" s="15"/>
      <c r="F649" s="15"/>
      <c r="G649" s="15"/>
      <c r="H649" s="15"/>
      <c r="I649" s="15"/>
      <c r="J649" s="15"/>
      <c r="L649" s="15"/>
    </row>
    <row r="650" ht="15.75" customHeight="1">
      <c r="A650" s="15"/>
      <c r="B650" s="15"/>
      <c r="C650" s="15"/>
      <c r="D650" s="15"/>
      <c r="E650" s="15"/>
      <c r="F650" s="15"/>
      <c r="G650" s="15"/>
      <c r="H650" s="15"/>
      <c r="I650" s="15"/>
      <c r="J650" s="15"/>
      <c r="L650" s="15"/>
    </row>
    <row r="651" ht="15.75" customHeight="1">
      <c r="A651" s="15"/>
      <c r="B651" s="15"/>
      <c r="C651" s="15"/>
      <c r="D651" s="15"/>
      <c r="E651" s="15"/>
      <c r="F651" s="15"/>
      <c r="G651" s="15"/>
      <c r="H651" s="15"/>
      <c r="I651" s="15"/>
      <c r="J651" s="15"/>
      <c r="L651" s="15"/>
    </row>
    <row r="652" ht="15.75" customHeight="1">
      <c r="A652" s="15"/>
      <c r="B652" s="15"/>
      <c r="C652" s="15"/>
      <c r="D652" s="15"/>
      <c r="E652" s="15"/>
      <c r="F652" s="15"/>
      <c r="G652" s="15"/>
      <c r="H652" s="15"/>
      <c r="I652" s="15"/>
      <c r="J652" s="15"/>
      <c r="L652" s="15"/>
    </row>
    <row r="653" ht="15.75" customHeight="1">
      <c r="A653" s="15"/>
      <c r="B653" s="15"/>
      <c r="C653" s="15"/>
      <c r="D653" s="15"/>
      <c r="E653" s="15"/>
      <c r="F653" s="15"/>
      <c r="G653" s="15"/>
      <c r="H653" s="15"/>
      <c r="I653" s="15"/>
      <c r="J653" s="15"/>
      <c r="L653" s="15"/>
    </row>
    <row r="654" ht="15.75" customHeight="1">
      <c r="A654" s="15"/>
      <c r="B654" s="15"/>
      <c r="C654" s="15"/>
      <c r="D654" s="15"/>
      <c r="E654" s="15"/>
      <c r="F654" s="15"/>
      <c r="G654" s="15"/>
      <c r="H654" s="15"/>
      <c r="I654" s="15"/>
      <c r="J654" s="15"/>
      <c r="L654" s="15"/>
    </row>
    <row r="655" ht="15.75" customHeight="1">
      <c r="A655" s="15"/>
      <c r="B655" s="15"/>
      <c r="C655" s="15"/>
      <c r="D655" s="15"/>
      <c r="E655" s="15"/>
      <c r="F655" s="15"/>
      <c r="G655" s="15"/>
      <c r="H655" s="15"/>
      <c r="I655" s="15"/>
      <c r="J655" s="15"/>
      <c r="L655" s="15"/>
    </row>
    <row r="656" ht="15.75" customHeight="1">
      <c r="A656" s="15"/>
      <c r="B656" s="15"/>
      <c r="C656" s="15"/>
      <c r="D656" s="15"/>
      <c r="E656" s="15"/>
      <c r="F656" s="15"/>
      <c r="G656" s="15"/>
      <c r="H656" s="15"/>
      <c r="I656" s="15"/>
      <c r="J656" s="15"/>
      <c r="L656" s="15"/>
    </row>
    <row r="657" ht="15.75" customHeight="1">
      <c r="A657" s="15"/>
      <c r="B657" s="15"/>
      <c r="C657" s="15"/>
      <c r="D657" s="15"/>
      <c r="E657" s="15"/>
      <c r="F657" s="15"/>
      <c r="G657" s="15"/>
      <c r="H657" s="15"/>
      <c r="I657" s="15"/>
      <c r="J657" s="15"/>
      <c r="L657" s="15"/>
    </row>
    <row r="658" ht="15.75" customHeight="1">
      <c r="A658" s="15"/>
      <c r="B658" s="15"/>
      <c r="C658" s="15"/>
      <c r="D658" s="15"/>
      <c r="E658" s="15"/>
      <c r="F658" s="15"/>
      <c r="G658" s="15"/>
      <c r="H658" s="15"/>
      <c r="I658" s="15"/>
      <c r="J658" s="15"/>
      <c r="L658" s="15"/>
    </row>
    <row r="659" ht="15.75" customHeight="1">
      <c r="A659" s="15"/>
      <c r="B659" s="15"/>
      <c r="C659" s="15"/>
      <c r="D659" s="15"/>
      <c r="E659" s="15"/>
      <c r="F659" s="15"/>
      <c r="G659" s="15"/>
      <c r="H659" s="15"/>
      <c r="I659" s="15"/>
      <c r="J659" s="15"/>
      <c r="L659" s="15"/>
    </row>
    <row r="660" ht="15.75" customHeight="1">
      <c r="A660" s="15"/>
      <c r="B660" s="15"/>
      <c r="C660" s="15"/>
      <c r="D660" s="15"/>
      <c r="E660" s="15"/>
      <c r="F660" s="15"/>
      <c r="G660" s="15"/>
      <c r="H660" s="15"/>
      <c r="I660" s="15"/>
      <c r="J660" s="15"/>
      <c r="L660" s="15"/>
    </row>
    <row r="661" ht="15.75" customHeight="1">
      <c r="A661" s="15"/>
      <c r="B661" s="15"/>
      <c r="C661" s="15"/>
      <c r="D661" s="15"/>
      <c r="E661" s="15"/>
      <c r="F661" s="15"/>
      <c r="G661" s="15"/>
      <c r="H661" s="15"/>
      <c r="I661" s="15"/>
      <c r="J661" s="15"/>
      <c r="L661" s="15"/>
    </row>
    <row r="662" ht="15.75" customHeight="1">
      <c r="A662" s="15"/>
      <c r="B662" s="15"/>
      <c r="C662" s="15"/>
      <c r="D662" s="15"/>
      <c r="E662" s="15"/>
      <c r="F662" s="15"/>
      <c r="G662" s="15"/>
      <c r="H662" s="15"/>
      <c r="I662" s="15"/>
      <c r="J662" s="15"/>
      <c r="L662" s="15"/>
    </row>
    <row r="663" ht="15.75" customHeight="1">
      <c r="A663" s="15"/>
      <c r="B663" s="15"/>
      <c r="C663" s="15"/>
      <c r="D663" s="15"/>
      <c r="E663" s="15"/>
      <c r="F663" s="15"/>
      <c r="G663" s="15"/>
      <c r="H663" s="15"/>
      <c r="I663" s="15"/>
      <c r="J663" s="15"/>
      <c r="L663" s="15"/>
    </row>
    <row r="664" ht="15.75" customHeight="1">
      <c r="A664" s="15"/>
      <c r="B664" s="15"/>
      <c r="C664" s="15"/>
      <c r="D664" s="15"/>
      <c r="E664" s="15"/>
      <c r="F664" s="15"/>
      <c r="G664" s="15"/>
      <c r="H664" s="15"/>
      <c r="I664" s="15"/>
      <c r="J664" s="15"/>
      <c r="L664" s="15"/>
    </row>
    <row r="665" ht="15.75" customHeight="1">
      <c r="A665" s="15"/>
      <c r="B665" s="15"/>
      <c r="C665" s="15"/>
      <c r="D665" s="15"/>
      <c r="E665" s="15"/>
      <c r="F665" s="15"/>
      <c r="G665" s="15"/>
      <c r="H665" s="15"/>
      <c r="I665" s="15"/>
      <c r="J665" s="15"/>
      <c r="L665" s="15"/>
    </row>
    <row r="666" ht="15.75" customHeight="1">
      <c r="A666" s="15"/>
      <c r="B666" s="15"/>
      <c r="C666" s="15"/>
      <c r="D666" s="15"/>
      <c r="E666" s="15"/>
      <c r="F666" s="15"/>
      <c r="G666" s="15"/>
      <c r="H666" s="15"/>
      <c r="I666" s="15"/>
      <c r="J666" s="15"/>
      <c r="L666" s="15"/>
    </row>
    <row r="667" ht="15.75" customHeight="1">
      <c r="A667" s="15"/>
      <c r="B667" s="15"/>
      <c r="C667" s="15"/>
      <c r="D667" s="15"/>
      <c r="E667" s="15"/>
      <c r="F667" s="15"/>
      <c r="G667" s="15"/>
      <c r="H667" s="15"/>
      <c r="I667" s="15"/>
      <c r="J667" s="15"/>
      <c r="L667" s="15"/>
    </row>
    <row r="668" ht="15.75" customHeight="1">
      <c r="A668" s="15"/>
      <c r="B668" s="15"/>
      <c r="C668" s="15"/>
      <c r="D668" s="15"/>
      <c r="E668" s="15"/>
      <c r="F668" s="15"/>
      <c r="G668" s="15"/>
      <c r="H668" s="15"/>
      <c r="I668" s="15"/>
      <c r="J668" s="15"/>
      <c r="L668" s="15"/>
    </row>
    <row r="669" ht="15.75" customHeight="1">
      <c r="A669" s="15"/>
      <c r="B669" s="15"/>
      <c r="C669" s="15"/>
      <c r="D669" s="15"/>
      <c r="E669" s="15"/>
      <c r="F669" s="15"/>
      <c r="G669" s="15"/>
      <c r="H669" s="15"/>
      <c r="I669" s="15"/>
      <c r="J669" s="15"/>
      <c r="L669" s="15"/>
    </row>
    <row r="670" ht="15.75" customHeight="1">
      <c r="A670" s="15"/>
      <c r="B670" s="15"/>
      <c r="C670" s="15"/>
      <c r="D670" s="15"/>
      <c r="E670" s="15"/>
      <c r="F670" s="15"/>
      <c r="G670" s="15"/>
      <c r="H670" s="15"/>
      <c r="I670" s="15"/>
      <c r="J670" s="15"/>
      <c r="L670" s="15"/>
    </row>
    <row r="671" ht="15.75" customHeight="1">
      <c r="A671" s="15"/>
      <c r="B671" s="15"/>
      <c r="C671" s="15"/>
      <c r="D671" s="15"/>
      <c r="E671" s="15"/>
      <c r="F671" s="15"/>
      <c r="G671" s="15"/>
      <c r="H671" s="15"/>
      <c r="I671" s="15"/>
      <c r="J671" s="15"/>
      <c r="L671" s="15"/>
    </row>
    <row r="672" ht="15.75" customHeight="1">
      <c r="A672" s="15"/>
      <c r="B672" s="15"/>
      <c r="C672" s="15"/>
      <c r="D672" s="15"/>
      <c r="E672" s="15"/>
      <c r="F672" s="15"/>
      <c r="G672" s="15"/>
      <c r="H672" s="15"/>
      <c r="I672" s="15"/>
      <c r="J672" s="15"/>
      <c r="L672" s="15"/>
    </row>
    <row r="673" ht="15.75" customHeight="1">
      <c r="A673" s="15"/>
      <c r="B673" s="15"/>
      <c r="C673" s="15"/>
      <c r="D673" s="15"/>
      <c r="E673" s="15"/>
      <c r="F673" s="15"/>
      <c r="G673" s="15"/>
      <c r="H673" s="15"/>
      <c r="I673" s="15"/>
      <c r="J673" s="15"/>
      <c r="L673" s="15"/>
    </row>
    <row r="674" ht="15.75" customHeight="1">
      <c r="A674" s="15"/>
      <c r="B674" s="15"/>
      <c r="C674" s="15"/>
      <c r="D674" s="15"/>
      <c r="E674" s="15"/>
      <c r="F674" s="15"/>
      <c r="G674" s="15"/>
      <c r="H674" s="15"/>
      <c r="I674" s="15"/>
      <c r="J674" s="15"/>
      <c r="L674" s="15"/>
    </row>
    <row r="675" ht="15.75" customHeight="1">
      <c r="A675" s="15"/>
      <c r="B675" s="15"/>
      <c r="C675" s="15"/>
      <c r="D675" s="15"/>
      <c r="E675" s="15"/>
      <c r="F675" s="15"/>
      <c r="G675" s="15"/>
      <c r="H675" s="15"/>
      <c r="I675" s="15"/>
      <c r="J675" s="15"/>
      <c r="L675" s="15"/>
    </row>
    <row r="676" ht="15.75" customHeight="1">
      <c r="A676" s="15"/>
      <c r="B676" s="15"/>
      <c r="C676" s="15"/>
      <c r="D676" s="15"/>
      <c r="E676" s="15"/>
      <c r="F676" s="15"/>
      <c r="G676" s="15"/>
      <c r="H676" s="15"/>
      <c r="I676" s="15"/>
      <c r="J676" s="15"/>
      <c r="L676" s="15"/>
    </row>
    <row r="677" ht="15.75" customHeight="1">
      <c r="A677" s="15"/>
      <c r="B677" s="15"/>
      <c r="C677" s="15"/>
      <c r="D677" s="15"/>
      <c r="E677" s="15"/>
      <c r="F677" s="15"/>
      <c r="G677" s="15"/>
      <c r="H677" s="15"/>
      <c r="I677" s="15"/>
      <c r="J677" s="15"/>
      <c r="L677" s="15"/>
    </row>
    <row r="678" ht="15.75" customHeight="1">
      <c r="A678" s="15"/>
      <c r="B678" s="15"/>
      <c r="C678" s="15"/>
      <c r="D678" s="15"/>
      <c r="E678" s="15"/>
      <c r="F678" s="15"/>
      <c r="G678" s="15"/>
      <c r="H678" s="15"/>
      <c r="I678" s="15"/>
      <c r="J678" s="15"/>
      <c r="L678" s="15"/>
    </row>
    <row r="679" ht="15.75" customHeight="1">
      <c r="A679" s="15"/>
      <c r="B679" s="15"/>
      <c r="C679" s="15"/>
      <c r="D679" s="15"/>
      <c r="E679" s="15"/>
      <c r="F679" s="15"/>
      <c r="G679" s="15"/>
      <c r="H679" s="15"/>
      <c r="I679" s="15"/>
      <c r="J679" s="15"/>
      <c r="L679" s="15"/>
    </row>
    <row r="680" ht="15.75" customHeight="1">
      <c r="A680" s="15"/>
      <c r="B680" s="15"/>
      <c r="C680" s="15"/>
      <c r="D680" s="15"/>
      <c r="E680" s="15"/>
      <c r="F680" s="15"/>
      <c r="G680" s="15"/>
      <c r="H680" s="15"/>
      <c r="I680" s="15"/>
      <c r="J680" s="15"/>
      <c r="L680" s="15"/>
    </row>
    <row r="681" ht="15.75" customHeight="1">
      <c r="A681" s="15"/>
      <c r="B681" s="15"/>
      <c r="C681" s="15"/>
      <c r="D681" s="15"/>
      <c r="E681" s="15"/>
      <c r="F681" s="15"/>
      <c r="G681" s="15"/>
      <c r="H681" s="15"/>
      <c r="I681" s="15"/>
      <c r="J681" s="15"/>
      <c r="L681" s="15"/>
    </row>
    <row r="682" ht="15.75" customHeight="1">
      <c r="A682" s="15"/>
      <c r="B682" s="15"/>
      <c r="C682" s="15"/>
      <c r="D682" s="15"/>
      <c r="E682" s="15"/>
      <c r="F682" s="15"/>
      <c r="G682" s="15"/>
      <c r="H682" s="15"/>
      <c r="I682" s="15"/>
      <c r="J682" s="15"/>
      <c r="L682" s="15"/>
    </row>
    <row r="683" ht="15.75" customHeight="1">
      <c r="A683" s="15"/>
      <c r="B683" s="15"/>
      <c r="C683" s="15"/>
      <c r="D683" s="15"/>
      <c r="E683" s="15"/>
      <c r="F683" s="15"/>
      <c r="G683" s="15"/>
      <c r="H683" s="15"/>
      <c r="I683" s="15"/>
      <c r="J683" s="15"/>
      <c r="L683" s="15"/>
    </row>
    <row r="684" ht="15.75" customHeight="1">
      <c r="A684" s="15"/>
      <c r="B684" s="15"/>
      <c r="C684" s="15"/>
      <c r="D684" s="15"/>
      <c r="E684" s="15"/>
      <c r="F684" s="15"/>
      <c r="G684" s="15"/>
      <c r="H684" s="15"/>
      <c r="I684" s="15"/>
      <c r="J684" s="15"/>
      <c r="L684" s="15"/>
    </row>
    <row r="685" ht="15.75" customHeight="1">
      <c r="A685" s="15"/>
      <c r="B685" s="15"/>
      <c r="C685" s="15"/>
      <c r="D685" s="15"/>
      <c r="E685" s="15"/>
      <c r="F685" s="15"/>
      <c r="G685" s="15"/>
      <c r="H685" s="15"/>
      <c r="I685" s="15"/>
      <c r="J685" s="15"/>
      <c r="L685" s="15"/>
    </row>
    <row r="686" ht="15.75" customHeight="1">
      <c r="A686" s="15"/>
      <c r="B686" s="15"/>
      <c r="C686" s="15"/>
      <c r="D686" s="15"/>
      <c r="E686" s="15"/>
      <c r="F686" s="15"/>
      <c r="G686" s="15"/>
      <c r="H686" s="15"/>
      <c r="I686" s="15"/>
      <c r="J686" s="15"/>
      <c r="L686" s="15"/>
    </row>
    <row r="687" ht="15.75" customHeight="1">
      <c r="A687" s="15"/>
      <c r="B687" s="15"/>
      <c r="C687" s="15"/>
      <c r="D687" s="15"/>
      <c r="E687" s="15"/>
      <c r="F687" s="15"/>
      <c r="G687" s="15"/>
      <c r="H687" s="15"/>
      <c r="I687" s="15"/>
      <c r="J687" s="15"/>
      <c r="L687" s="15"/>
    </row>
    <row r="688" ht="15.75" customHeight="1">
      <c r="A688" s="15"/>
      <c r="B688" s="15"/>
      <c r="C688" s="15"/>
      <c r="D688" s="15"/>
      <c r="E688" s="15"/>
      <c r="F688" s="15"/>
      <c r="G688" s="15"/>
      <c r="H688" s="15"/>
      <c r="I688" s="15"/>
      <c r="J688" s="15"/>
      <c r="L688" s="15"/>
    </row>
    <row r="689" ht="15.75" customHeight="1">
      <c r="A689" s="15"/>
      <c r="B689" s="15"/>
      <c r="C689" s="15"/>
      <c r="D689" s="15"/>
      <c r="E689" s="15"/>
      <c r="F689" s="15"/>
      <c r="G689" s="15"/>
      <c r="H689" s="15"/>
      <c r="I689" s="15"/>
      <c r="J689" s="15"/>
      <c r="L689" s="15"/>
    </row>
    <row r="690" ht="15.75" customHeight="1">
      <c r="A690" s="15"/>
      <c r="B690" s="15"/>
      <c r="C690" s="15"/>
      <c r="D690" s="15"/>
      <c r="E690" s="15"/>
      <c r="F690" s="15"/>
      <c r="G690" s="15"/>
      <c r="H690" s="15"/>
      <c r="I690" s="15"/>
      <c r="J690" s="15"/>
      <c r="L690" s="15"/>
    </row>
    <row r="691" ht="15.75" customHeight="1">
      <c r="A691" s="15"/>
      <c r="B691" s="15"/>
      <c r="C691" s="15"/>
      <c r="D691" s="15"/>
      <c r="E691" s="15"/>
      <c r="F691" s="15"/>
      <c r="G691" s="15"/>
      <c r="H691" s="15"/>
      <c r="I691" s="15"/>
      <c r="J691" s="15"/>
      <c r="L691" s="15"/>
    </row>
    <row r="692" ht="15.75" customHeight="1">
      <c r="A692" s="15"/>
      <c r="B692" s="15"/>
      <c r="C692" s="15"/>
      <c r="D692" s="15"/>
      <c r="E692" s="15"/>
      <c r="F692" s="15"/>
      <c r="G692" s="15"/>
      <c r="H692" s="15"/>
      <c r="I692" s="15"/>
      <c r="J692" s="15"/>
      <c r="L692" s="15"/>
    </row>
    <row r="693" ht="15.75" customHeight="1">
      <c r="A693" s="15"/>
      <c r="B693" s="15"/>
      <c r="C693" s="15"/>
      <c r="D693" s="15"/>
      <c r="E693" s="15"/>
      <c r="F693" s="15"/>
      <c r="G693" s="15"/>
      <c r="H693" s="15"/>
      <c r="I693" s="15"/>
      <c r="J693" s="15"/>
      <c r="L693" s="15"/>
    </row>
    <row r="694" ht="15.75" customHeight="1">
      <c r="A694" s="15"/>
      <c r="B694" s="15"/>
      <c r="C694" s="15"/>
      <c r="D694" s="15"/>
      <c r="E694" s="15"/>
      <c r="F694" s="15"/>
      <c r="G694" s="15"/>
      <c r="H694" s="15"/>
      <c r="I694" s="15"/>
      <c r="J694" s="15"/>
      <c r="L694" s="15"/>
    </row>
    <row r="695" ht="15.75" customHeight="1">
      <c r="A695" s="15"/>
      <c r="B695" s="15"/>
      <c r="C695" s="15"/>
      <c r="D695" s="15"/>
      <c r="E695" s="15"/>
      <c r="F695" s="15"/>
      <c r="G695" s="15"/>
      <c r="H695" s="15"/>
      <c r="I695" s="15"/>
      <c r="J695" s="15"/>
      <c r="L695" s="15"/>
    </row>
    <row r="696" ht="15.75" customHeight="1">
      <c r="A696" s="15"/>
      <c r="B696" s="15"/>
      <c r="C696" s="15"/>
      <c r="D696" s="15"/>
      <c r="E696" s="15"/>
      <c r="F696" s="15"/>
      <c r="G696" s="15"/>
      <c r="H696" s="15"/>
      <c r="I696" s="15"/>
      <c r="J696" s="15"/>
      <c r="L696" s="15"/>
    </row>
    <row r="697" ht="15.75" customHeight="1">
      <c r="A697" s="15"/>
      <c r="B697" s="15"/>
      <c r="C697" s="15"/>
      <c r="D697" s="15"/>
      <c r="E697" s="15"/>
      <c r="F697" s="15"/>
      <c r="G697" s="15"/>
      <c r="H697" s="15"/>
      <c r="I697" s="15"/>
      <c r="J697" s="15"/>
      <c r="L697" s="15"/>
    </row>
    <row r="698" ht="15.75" customHeight="1">
      <c r="A698" s="15"/>
      <c r="B698" s="15"/>
      <c r="C698" s="15"/>
      <c r="D698" s="15"/>
      <c r="E698" s="15"/>
      <c r="F698" s="15"/>
      <c r="G698" s="15"/>
      <c r="H698" s="15"/>
      <c r="I698" s="15"/>
      <c r="J698" s="15"/>
      <c r="L698" s="15"/>
    </row>
    <row r="699" ht="15.75" customHeight="1">
      <c r="A699" s="15"/>
      <c r="B699" s="15"/>
      <c r="C699" s="15"/>
      <c r="D699" s="15"/>
      <c r="E699" s="15"/>
      <c r="F699" s="15"/>
      <c r="G699" s="15"/>
      <c r="H699" s="15"/>
      <c r="I699" s="15"/>
      <c r="J699" s="15"/>
      <c r="L699" s="15"/>
    </row>
    <row r="700" ht="15.75" customHeight="1">
      <c r="A700" s="15"/>
      <c r="B700" s="15"/>
      <c r="C700" s="15"/>
      <c r="D700" s="15"/>
      <c r="E700" s="15"/>
      <c r="F700" s="15"/>
      <c r="G700" s="15"/>
      <c r="H700" s="15"/>
      <c r="I700" s="15"/>
      <c r="J700" s="15"/>
      <c r="L700" s="15"/>
    </row>
    <row r="701" ht="15.75" customHeight="1">
      <c r="A701" s="15"/>
      <c r="B701" s="15"/>
      <c r="C701" s="15"/>
      <c r="D701" s="15"/>
      <c r="E701" s="15"/>
      <c r="F701" s="15"/>
      <c r="G701" s="15"/>
      <c r="H701" s="15"/>
      <c r="I701" s="15"/>
      <c r="J701" s="15"/>
      <c r="L701" s="15"/>
    </row>
    <row r="702" ht="15.75" customHeight="1">
      <c r="A702" s="15"/>
      <c r="B702" s="15"/>
      <c r="C702" s="15"/>
      <c r="D702" s="15"/>
      <c r="E702" s="15"/>
      <c r="F702" s="15"/>
      <c r="G702" s="15"/>
      <c r="H702" s="15"/>
      <c r="I702" s="15"/>
      <c r="J702" s="15"/>
      <c r="L702" s="15"/>
    </row>
    <row r="703" ht="15.75" customHeight="1">
      <c r="A703" s="15"/>
      <c r="B703" s="15"/>
      <c r="C703" s="15"/>
      <c r="D703" s="15"/>
      <c r="E703" s="15"/>
      <c r="F703" s="15"/>
      <c r="G703" s="15"/>
      <c r="H703" s="15"/>
      <c r="I703" s="15"/>
      <c r="J703" s="15"/>
      <c r="L703" s="15"/>
    </row>
    <row r="704" ht="15.75" customHeight="1">
      <c r="A704" s="15"/>
      <c r="B704" s="15"/>
      <c r="C704" s="15"/>
      <c r="D704" s="15"/>
      <c r="E704" s="15"/>
      <c r="F704" s="15"/>
      <c r="G704" s="15"/>
      <c r="H704" s="15"/>
      <c r="I704" s="15"/>
      <c r="J704" s="15"/>
      <c r="L704" s="15"/>
    </row>
    <row r="705" ht="15.75" customHeight="1">
      <c r="A705" s="15"/>
      <c r="B705" s="15"/>
      <c r="C705" s="15"/>
      <c r="D705" s="15"/>
      <c r="E705" s="15"/>
      <c r="F705" s="15"/>
      <c r="G705" s="15"/>
      <c r="H705" s="15"/>
      <c r="I705" s="15"/>
      <c r="J705" s="15"/>
      <c r="L705" s="15"/>
    </row>
    <row r="706" ht="15.75" customHeight="1">
      <c r="A706" s="15"/>
      <c r="B706" s="15"/>
      <c r="C706" s="15"/>
      <c r="D706" s="15"/>
      <c r="E706" s="15"/>
      <c r="F706" s="15"/>
      <c r="G706" s="15"/>
      <c r="H706" s="15"/>
      <c r="I706" s="15"/>
      <c r="J706" s="15"/>
      <c r="L706" s="15"/>
    </row>
    <row r="707" ht="15.75" customHeight="1">
      <c r="A707" s="15"/>
      <c r="B707" s="15"/>
      <c r="C707" s="15"/>
      <c r="D707" s="15"/>
      <c r="E707" s="15"/>
      <c r="F707" s="15"/>
      <c r="G707" s="15"/>
      <c r="H707" s="15"/>
      <c r="I707" s="15"/>
      <c r="J707" s="15"/>
      <c r="L707" s="15"/>
    </row>
    <row r="708" ht="15.75" customHeight="1">
      <c r="A708" s="15"/>
      <c r="B708" s="15"/>
      <c r="C708" s="15"/>
      <c r="D708" s="15"/>
      <c r="E708" s="15"/>
      <c r="F708" s="15"/>
      <c r="G708" s="15"/>
      <c r="H708" s="15"/>
      <c r="I708" s="15"/>
      <c r="J708" s="15"/>
      <c r="L708" s="15"/>
    </row>
    <row r="709" ht="15.75" customHeight="1">
      <c r="A709" s="15"/>
      <c r="B709" s="15"/>
      <c r="C709" s="15"/>
      <c r="D709" s="15"/>
      <c r="E709" s="15"/>
      <c r="F709" s="15"/>
      <c r="G709" s="15"/>
      <c r="H709" s="15"/>
      <c r="I709" s="15"/>
      <c r="J709" s="15"/>
      <c r="L709" s="15"/>
    </row>
    <row r="710" ht="15.75" customHeight="1">
      <c r="A710" s="15"/>
      <c r="B710" s="15"/>
      <c r="C710" s="15"/>
      <c r="D710" s="15"/>
      <c r="E710" s="15"/>
      <c r="F710" s="15"/>
      <c r="G710" s="15"/>
      <c r="H710" s="15"/>
      <c r="I710" s="15"/>
      <c r="J710" s="15"/>
      <c r="L710" s="15"/>
    </row>
    <row r="711" ht="15.75" customHeight="1">
      <c r="A711" s="15"/>
      <c r="B711" s="15"/>
      <c r="C711" s="15"/>
      <c r="D711" s="15"/>
      <c r="E711" s="15"/>
      <c r="F711" s="15"/>
      <c r="G711" s="15"/>
      <c r="H711" s="15"/>
      <c r="I711" s="15"/>
      <c r="J711" s="15"/>
      <c r="L711" s="15"/>
    </row>
    <row r="712" ht="15.75" customHeight="1">
      <c r="A712" s="15"/>
      <c r="B712" s="15"/>
      <c r="C712" s="15"/>
      <c r="D712" s="15"/>
      <c r="E712" s="15"/>
      <c r="F712" s="15"/>
      <c r="G712" s="15"/>
      <c r="H712" s="15"/>
      <c r="I712" s="15"/>
      <c r="J712" s="15"/>
      <c r="L712" s="15"/>
    </row>
    <row r="713" ht="15.75" customHeight="1">
      <c r="A713" s="15"/>
      <c r="B713" s="15"/>
      <c r="C713" s="15"/>
      <c r="D713" s="15"/>
      <c r="E713" s="15"/>
      <c r="F713" s="15"/>
      <c r="G713" s="15"/>
      <c r="H713" s="15"/>
      <c r="I713" s="15"/>
      <c r="J713" s="15"/>
      <c r="L713" s="15"/>
    </row>
    <row r="714" ht="15.75" customHeight="1">
      <c r="A714" s="15"/>
      <c r="B714" s="15"/>
      <c r="C714" s="15"/>
      <c r="D714" s="15"/>
      <c r="E714" s="15"/>
      <c r="F714" s="15"/>
      <c r="G714" s="15"/>
      <c r="H714" s="15"/>
      <c r="I714" s="15"/>
      <c r="J714" s="15"/>
      <c r="L714" s="15"/>
    </row>
    <row r="715" ht="15.75" customHeight="1">
      <c r="A715" s="15"/>
      <c r="B715" s="15"/>
      <c r="C715" s="15"/>
      <c r="D715" s="15"/>
      <c r="E715" s="15"/>
      <c r="F715" s="15"/>
      <c r="G715" s="15"/>
      <c r="H715" s="15"/>
      <c r="I715" s="15"/>
      <c r="J715" s="15"/>
      <c r="L715" s="15"/>
    </row>
    <row r="716" ht="15.75" customHeight="1">
      <c r="A716" s="15"/>
      <c r="B716" s="15"/>
      <c r="C716" s="15"/>
      <c r="D716" s="15"/>
      <c r="E716" s="15"/>
      <c r="F716" s="15"/>
      <c r="G716" s="15"/>
      <c r="H716" s="15"/>
      <c r="I716" s="15"/>
      <c r="J716" s="15"/>
      <c r="L716" s="15"/>
    </row>
    <row r="717" ht="15.75" customHeight="1">
      <c r="A717" s="15"/>
      <c r="B717" s="15"/>
      <c r="C717" s="15"/>
      <c r="D717" s="15"/>
      <c r="E717" s="15"/>
      <c r="F717" s="15"/>
      <c r="G717" s="15"/>
      <c r="H717" s="15"/>
      <c r="I717" s="15"/>
      <c r="J717" s="15"/>
      <c r="L717" s="15"/>
    </row>
    <row r="718" ht="15.75" customHeight="1">
      <c r="A718" s="15"/>
      <c r="B718" s="15"/>
      <c r="C718" s="15"/>
      <c r="D718" s="15"/>
      <c r="E718" s="15"/>
      <c r="F718" s="15"/>
      <c r="G718" s="15"/>
      <c r="H718" s="15"/>
      <c r="I718" s="15"/>
      <c r="J718" s="15"/>
      <c r="L718" s="15"/>
    </row>
    <row r="719" ht="15.75" customHeight="1">
      <c r="A719" s="15"/>
      <c r="B719" s="15"/>
      <c r="C719" s="15"/>
      <c r="D719" s="15"/>
      <c r="E719" s="15"/>
      <c r="F719" s="15"/>
      <c r="G719" s="15"/>
      <c r="H719" s="15"/>
      <c r="I719" s="15"/>
      <c r="J719" s="15"/>
      <c r="L719" s="15"/>
    </row>
    <row r="720" ht="15.75" customHeight="1">
      <c r="A720" s="15"/>
      <c r="B720" s="15"/>
      <c r="C720" s="15"/>
      <c r="D720" s="15"/>
      <c r="E720" s="15"/>
      <c r="F720" s="15"/>
      <c r="G720" s="15"/>
      <c r="H720" s="15"/>
      <c r="I720" s="15"/>
      <c r="J720" s="15"/>
      <c r="L720" s="15"/>
    </row>
    <row r="721" ht="15.75" customHeight="1">
      <c r="A721" s="15"/>
      <c r="B721" s="15"/>
      <c r="C721" s="15"/>
      <c r="D721" s="15"/>
      <c r="E721" s="15"/>
      <c r="F721" s="15"/>
      <c r="G721" s="15"/>
      <c r="H721" s="15"/>
      <c r="I721" s="15"/>
      <c r="J721" s="15"/>
      <c r="L721" s="15"/>
    </row>
    <row r="722" ht="15.75" customHeight="1">
      <c r="A722" s="15"/>
      <c r="B722" s="15"/>
      <c r="C722" s="15"/>
      <c r="D722" s="15"/>
      <c r="E722" s="15"/>
      <c r="F722" s="15"/>
      <c r="G722" s="15"/>
      <c r="H722" s="15"/>
      <c r="I722" s="15"/>
      <c r="J722" s="15"/>
      <c r="L722" s="15"/>
    </row>
    <row r="723" ht="15.75" customHeight="1">
      <c r="A723" s="15"/>
      <c r="B723" s="15"/>
      <c r="C723" s="15"/>
      <c r="D723" s="15"/>
      <c r="E723" s="15"/>
      <c r="F723" s="15"/>
      <c r="G723" s="15"/>
      <c r="H723" s="15"/>
      <c r="I723" s="15"/>
      <c r="J723" s="15"/>
      <c r="L723" s="15"/>
    </row>
    <row r="724" ht="15.75" customHeight="1">
      <c r="A724" s="15"/>
      <c r="B724" s="15"/>
      <c r="C724" s="15"/>
      <c r="D724" s="15"/>
      <c r="E724" s="15"/>
      <c r="F724" s="15"/>
      <c r="G724" s="15"/>
      <c r="H724" s="15"/>
      <c r="I724" s="15"/>
      <c r="J724" s="15"/>
      <c r="L724" s="15"/>
    </row>
    <row r="725" ht="15.75" customHeight="1">
      <c r="A725" s="15"/>
      <c r="B725" s="15"/>
      <c r="C725" s="15"/>
      <c r="D725" s="15"/>
      <c r="E725" s="15"/>
      <c r="F725" s="15"/>
      <c r="G725" s="15"/>
      <c r="H725" s="15"/>
      <c r="I725" s="15"/>
      <c r="J725" s="15"/>
      <c r="L725" s="15"/>
    </row>
    <row r="726" ht="15.75" customHeight="1">
      <c r="A726" s="15"/>
      <c r="B726" s="15"/>
      <c r="C726" s="15"/>
      <c r="D726" s="15"/>
      <c r="E726" s="15"/>
      <c r="F726" s="15"/>
      <c r="G726" s="15"/>
      <c r="H726" s="15"/>
      <c r="I726" s="15"/>
      <c r="J726" s="15"/>
      <c r="L726" s="15"/>
    </row>
    <row r="727" ht="15.75" customHeight="1">
      <c r="A727" s="15"/>
      <c r="B727" s="15"/>
      <c r="C727" s="15"/>
      <c r="D727" s="15"/>
      <c r="E727" s="15"/>
      <c r="F727" s="15"/>
      <c r="G727" s="15"/>
      <c r="H727" s="15"/>
      <c r="I727" s="15"/>
      <c r="J727" s="15"/>
      <c r="L727" s="15"/>
    </row>
    <row r="728" ht="15.75" customHeight="1">
      <c r="A728" s="15"/>
      <c r="B728" s="15"/>
      <c r="C728" s="15"/>
      <c r="D728" s="15"/>
      <c r="E728" s="15"/>
      <c r="F728" s="15"/>
      <c r="G728" s="15"/>
      <c r="H728" s="15"/>
      <c r="I728" s="15"/>
      <c r="J728" s="15"/>
      <c r="L728" s="15"/>
    </row>
    <row r="729" ht="15.75" customHeight="1">
      <c r="A729" s="15"/>
      <c r="B729" s="15"/>
      <c r="C729" s="15"/>
      <c r="D729" s="15"/>
      <c r="E729" s="15"/>
      <c r="F729" s="15"/>
      <c r="G729" s="15"/>
      <c r="H729" s="15"/>
      <c r="I729" s="15"/>
      <c r="J729" s="15"/>
      <c r="L729" s="15"/>
    </row>
    <row r="730" ht="15.75" customHeight="1">
      <c r="A730" s="15"/>
      <c r="B730" s="15"/>
      <c r="C730" s="15"/>
      <c r="D730" s="15"/>
      <c r="E730" s="15"/>
      <c r="F730" s="15"/>
      <c r="G730" s="15"/>
      <c r="H730" s="15"/>
      <c r="I730" s="15"/>
      <c r="J730" s="15"/>
      <c r="L730" s="15"/>
    </row>
    <row r="731" ht="15.75" customHeight="1">
      <c r="A731" s="15"/>
      <c r="B731" s="15"/>
      <c r="C731" s="15"/>
      <c r="D731" s="15"/>
      <c r="E731" s="15"/>
      <c r="F731" s="15"/>
      <c r="G731" s="15"/>
      <c r="H731" s="15"/>
      <c r="I731" s="15"/>
      <c r="J731" s="15"/>
      <c r="L731" s="15"/>
    </row>
    <row r="732" ht="15.75" customHeight="1">
      <c r="A732" s="15"/>
      <c r="B732" s="15"/>
      <c r="C732" s="15"/>
      <c r="D732" s="15"/>
      <c r="E732" s="15"/>
      <c r="F732" s="15"/>
      <c r="G732" s="15"/>
      <c r="H732" s="15"/>
      <c r="I732" s="15"/>
      <c r="J732" s="15"/>
      <c r="L732" s="15"/>
    </row>
    <row r="733" ht="15.75" customHeight="1">
      <c r="A733" s="15"/>
      <c r="B733" s="15"/>
      <c r="C733" s="15"/>
      <c r="D733" s="15"/>
      <c r="E733" s="15"/>
      <c r="F733" s="15"/>
      <c r="G733" s="15"/>
      <c r="H733" s="15"/>
      <c r="I733" s="15"/>
      <c r="J733" s="15"/>
      <c r="L733" s="15"/>
    </row>
    <row r="734" ht="15.75" customHeight="1">
      <c r="A734" s="15"/>
      <c r="B734" s="15"/>
      <c r="C734" s="15"/>
      <c r="D734" s="15"/>
      <c r="E734" s="15"/>
      <c r="F734" s="15"/>
      <c r="G734" s="15"/>
      <c r="H734" s="15"/>
      <c r="I734" s="15"/>
      <c r="J734" s="15"/>
      <c r="L734" s="15"/>
    </row>
    <row r="735" ht="15.75" customHeight="1">
      <c r="A735" s="15"/>
      <c r="B735" s="15"/>
      <c r="C735" s="15"/>
      <c r="D735" s="15"/>
      <c r="E735" s="15"/>
      <c r="F735" s="15"/>
      <c r="G735" s="15"/>
      <c r="H735" s="15"/>
      <c r="I735" s="15"/>
      <c r="J735" s="15"/>
      <c r="L735" s="15"/>
    </row>
    <row r="736" ht="15.75" customHeight="1">
      <c r="A736" s="15"/>
      <c r="B736" s="15"/>
      <c r="C736" s="15"/>
      <c r="D736" s="15"/>
      <c r="E736" s="15"/>
      <c r="F736" s="15"/>
      <c r="G736" s="15"/>
      <c r="H736" s="15"/>
      <c r="I736" s="15"/>
      <c r="J736" s="15"/>
      <c r="L736" s="15"/>
    </row>
    <row r="737" ht="15.75" customHeight="1">
      <c r="A737" s="15"/>
      <c r="B737" s="15"/>
      <c r="C737" s="15"/>
      <c r="D737" s="15"/>
      <c r="E737" s="15"/>
      <c r="F737" s="15"/>
      <c r="G737" s="15"/>
      <c r="H737" s="15"/>
      <c r="I737" s="15"/>
      <c r="J737" s="15"/>
      <c r="L737" s="15"/>
    </row>
    <row r="738" ht="15.75" customHeight="1">
      <c r="A738" s="15"/>
      <c r="B738" s="15"/>
      <c r="C738" s="15"/>
      <c r="D738" s="15"/>
      <c r="E738" s="15"/>
      <c r="F738" s="15"/>
      <c r="G738" s="15"/>
      <c r="H738" s="15"/>
      <c r="I738" s="15"/>
      <c r="J738" s="15"/>
      <c r="L738" s="15"/>
    </row>
    <row r="739" ht="15.75" customHeight="1">
      <c r="A739" s="15"/>
      <c r="B739" s="15"/>
      <c r="C739" s="15"/>
      <c r="D739" s="15"/>
      <c r="E739" s="15"/>
      <c r="F739" s="15"/>
      <c r="G739" s="15"/>
      <c r="H739" s="15"/>
      <c r="I739" s="15"/>
      <c r="J739" s="15"/>
      <c r="L739" s="15"/>
    </row>
    <row r="740" ht="15.75" customHeight="1">
      <c r="A740" s="15"/>
      <c r="B740" s="15"/>
      <c r="C740" s="15"/>
      <c r="D740" s="15"/>
      <c r="E740" s="15"/>
      <c r="F740" s="15"/>
      <c r="G740" s="15"/>
      <c r="H740" s="15"/>
      <c r="I740" s="15"/>
      <c r="J740" s="15"/>
      <c r="L740" s="15"/>
    </row>
    <row r="741" ht="15.75" customHeight="1">
      <c r="A741" s="15"/>
      <c r="B741" s="15"/>
      <c r="C741" s="15"/>
      <c r="D741" s="15"/>
      <c r="E741" s="15"/>
      <c r="F741" s="15"/>
      <c r="G741" s="15"/>
      <c r="H741" s="15"/>
      <c r="I741" s="15"/>
      <c r="J741" s="15"/>
      <c r="L741" s="15"/>
    </row>
    <row r="742" ht="15.75" customHeight="1">
      <c r="A742" s="15"/>
      <c r="B742" s="15"/>
      <c r="C742" s="15"/>
      <c r="D742" s="15"/>
      <c r="E742" s="15"/>
      <c r="F742" s="15"/>
      <c r="G742" s="15"/>
      <c r="H742" s="15"/>
      <c r="I742" s="15"/>
      <c r="J742" s="15"/>
      <c r="L742" s="15"/>
    </row>
    <row r="743" ht="15.75" customHeight="1">
      <c r="A743" s="15"/>
      <c r="B743" s="15"/>
      <c r="C743" s="15"/>
      <c r="D743" s="15"/>
      <c r="E743" s="15"/>
      <c r="F743" s="15"/>
      <c r="G743" s="15"/>
      <c r="H743" s="15"/>
      <c r="I743" s="15"/>
      <c r="J743" s="15"/>
      <c r="L743" s="15"/>
    </row>
    <row r="744" ht="15.75" customHeight="1">
      <c r="A744" s="15"/>
      <c r="B744" s="15"/>
      <c r="C744" s="15"/>
      <c r="D744" s="15"/>
      <c r="E744" s="15"/>
      <c r="F744" s="15"/>
      <c r="G744" s="15"/>
      <c r="H744" s="15"/>
      <c r="I744" s="15"/>
      <c r="J744" s="15"/>
      <c r="L744" s="15"/>
    </row>
    <row r="745" ht="15.75" customHeight="1">
      <c r="A745" s="15"/>
      <c r="B745" s="15"/>
      <c r="C745" s="15"/>
      <c r="D745" s="15"/>
      <c r="E745" s="15"/>
      <c r="F745" s="15"/>
      <c r="G745" s="15"/>
      <c r="H745" s="15"/>
      <c r="I745" s="15"/>
      <c r="J745" s="15"/>
      <c r="L745" s="15"/>
    </row>
    <row r="746" ht="15.75" customHeight="1">
      <c r="A746" s="15"/>
      <c r="B746" s="15"/>
      <c r="C746" s="15"/>
      <c r="D746" s="15"/>
      <c r="E746" s="15"/>
      <c r="F746" s="15"/>
      <c r="G746" s="15"/>
      <c r="H746" s="15"/>
      <c r="I746" s="15"/>
      <c r="J746" s="15"/>
      <c r="L746" s="15"/>
    </row>
    <row r="747" ht="15.75" customHeight="1">
      <c r="A747" s="15"/>
      <c r="B747" s="15"/>
      <c r="C747" s="15"/>
      <c r="D747" s="15"/>
      <c r="E747" s="15"/>
      <c r="F747" s="15"/>
      <c r="G747" s="15"/>
      <c r="H747" s="15"/>
      <c r="I747" s="15"/>
      <c r="J747" s="15"/>
      <c r="L747" s="15"/>
    </row>
    <row r="748" ht="15.75" customHeight="1">
      <c r="A748" s="15"/>
      <c r="B748" s="15"/>
      <c r="C748" s="15"/>
      <c r="D748" s="15"/>
      <c r="E748" s="15"/>
      <c r="F748" s="15"/>
      <c r="G748" s="15"/>
      <c r="H748" s="15"/>
      <c r="I748" s="15"/>
      <c r="J748" s="15"/>
      <c r="L748" s="15"/>
    </row>
    <row r="749" ht="15.75" customHeight="1">
      <c r="A749" s="15"/>
      <c r="B749" s="15"/>
      <c r="C749" s="15"/>
      <c r="D749" s="15"/>
      <c r="E749" s="15"/>
      <c r="F749" s="15"/>
      <c r="G749" s="15"/>
      <c r="H749" s="15"/>
      <c r="I749" s="15"/>
      <c r="J749" s="15"/>
      <c r="L749" s="15"/>
    </row>
    <row r="750" ht="15.75" customHeight="1">
      <c r="A750" s="15"/>
      <c r="B750" s="15"/>
      <c r="C750" s="15"/>
      <c r="D750" s="15"/>
      <c r="E750" s="15"/>
      <c r="F750" s="15"/>
      <c r="G750" s="15"/>
      <c r="H750" s="15"/>
      <c r="I750" s="15"/>
      <c r="J750" s="15"/>
      <c r="L750" s="15"/>
    </row>
    <row r="751" ht="15.75" customHeight="1">
      <c r="A751" s="15"/>
      <c r="B751" s="15"/>
      <c r="C751" s="15"/>
      <c r="D751" s="15"/>
      <c r="E751" s="15"/>
      <c r="F751" s="15"/>
      <c r="G751" s="15"/>
      <c r="H751" s="15"/>
      <c r="I751" s="15"/>
      <c r="J751" s="15"/>
      <c r="L751" s="15"/>
    </row>
    <row r="752" ht="15.75" customHeight="1">
      <c r="A752" s="15"/>
      <c r="B752" s="15"/>
      <c r="C752" s="15"/>
      <c r="D752" s="15"/>
      <c r="E752" s="15"/>
      <c r="F752" s="15"/>
      <c r="G752" s="15"/>
      <c r="H752" s="15"/>
      <c r="I752" s="15"/>
      <c r="J752" s="15"/>
      <c r="L752" s="15"/>
    </row>
    <row r="753" ht="15.75" customHeight="1">
      <c r="A753" s="15"/>
      <c r="B753" s="15"/>
      <c r="C753" s="15"/>
      <c r="D753" s="15"/>
      <c r="E753" s="15"/>
      <c r="F753" s="15"/>
      <c r="G753" s="15"/>
      <c r="H753" s="15"/>
      <c r="I753" s="15"/>
      <c r="J753" s="15"/>
      <c r="L753" s="15"/>
    </row>
    <row r="754" ht="15.75" customHeight="1">
      <c r="A754" s="15"/>
      <c r="B754" s="15"/>
      <c r="C754" s="15"/>
      <c r="D754" s="15"/>
      <c r="E754" s="15"/>
      <c r="F754" s="15"/>
      <c r="G754" s="15"/>
      <c r="H754" s="15"/>
      <c r="I754" s="15"/>
      <c r="J754" s="15"/>
      <c r="L754" s="15"/>
    </row>
    <row r="755" ht="15.75" customHeight="1">
      <c r="A755" s="15"/>
      <c r="B755" s="15"/>
      <c r="C755" s="15"/>
      <c r="D755" s="15"/>
      <c r="E755" s="15"/>
      <c r="F755" s="15"/>
      <c r="G755" s="15"/>
      <c r="H755" s="15"/>
      <c r="I755" s="15"/>
      <c r="J755" s="15"/>
      <c r="L755" s="15"/>
    </row>
    <row r="756" ht="15.75" customHeight="1">
      <c r="A756" s="15"/>
      <c r="B756" s="15"/>
      <c r="C756" s="15"/>
      <c r="D756" s="15"/>
      <c r="E756" s="15"/>
      <c r="F756" s="15"/>
      <c r="G756" s="15"/>
      <c r="H756" s="15"/>
      <c r="I756" s="15"/>
      <c r="J756" s="15"/>
      <c r="L756" s="15"/>
    </row>
    <row r="757" ht="15.75" customHeight="1">
      <c r="A757" s="15"/>
      <c r="B757" s="15"/>
      <c r="C757" s="15"/>
      <c r="D757" s="15"/>
      <c r="E757" s="15"/>
      <c r="F757" s="15"/>
      <c r="G757" s="15"/>
      <c r="H757" s="15"/>
      <c r="I757" s="15"/>
      <c r="J757" s="15"/>
      <c r="L757" s="15"/>
    </row>
    <row r="758" ht="15.75" customHeight="1">
      <c r="A758" s="15"/>
      <c r="B758" s="15"/>
      <c r="C758" s="15"/>
      <c r="D758" s="15"/>
      <c r="E758" s="15"/>
      <c r="F758" s="15"/>
      <c r="G758" s="15"/>
      <c r="H758" s="15"/>
      <c r="I758" s="15"/>
      <c r="J758" s="15"/>
      <c r="L758" s="15"/>
    </row>
    <row r="759" ht="15.75" customHeight="1">
      <c r="A759" s="15"/>
      <c r="B759" s="15"/>
      <c r="C759" s="15"/>
      <c r="D759" s="15"/>
      <c r="E759" s="15"/>
      <c r="F759" s="15"/>
      <c r="G759" s="15"/>
      <c r="H759" s="15"/>
      <c r="I759" s="15"/>
      <c r="J759" s="15"/>
      <c r="L759" s="15"/>
    </row>
    <row r="760" ht="15.75" customHeight="1">
      <c r="A760" s="15"/>
      <c r="B760" s="15"/>
      <c r="C760" s="15"/>
      <c r="D760" s="15"/>
      <c r="E760" s="15"/>
      <c r="F760" s="15"/>
      <c r="G760" s="15"/>
      <c r="H760" s="15"/>
      <c r="I760" s="15"/>
      <c r="J760" s="15"/>
      <c r="L760" s="15"/>
    </row>
    <row r="761" ht="15.75" customHeight="1">
      <c r="A761" s="15"/>
      <c r="B761" s="15"/>
      <c r="C761" s="15"/>
      <c r="D761" s="15"/>
      <c r="E761" s="15"/>
      <c r="F761" s="15"/>
      <c r="G761" s="15"/>
      <c r="H761" s="15"/>
      <c r="I761" s="15"/>
      <c r="J761" s="15"/>
      <c r="L761" s="15"/>
    </row>
    <row r="762" ht="15.75" customHeight="1">
      <c r="A762" s="15"/>
      <c r="B762" s="15"/>
      <c r="C762" s="15"/>
      <c r="D762" s="15"/>
      <c r="E762" s="15"/>
      <c r="F762" s="15"/>
      <c r="G762" s="15"/>
      <c r="H762" s="15"/>
      <c r="I762" s="15"/>
      <c r="J762" s="15"/>
      <c r="L762" s="15"/>
    </row>
    <row r="763" ht="15.75" customHeight="1">
      <c r="A763" s="15"/>
      <c r="B763" s="15"/>
      <c r="C763" s="15"/>
      <c r="D763" s="15"/>
      <c r="E763" s="15"/>
      <c r="F763" s="15"/>
      <c r="G763" s="15"/>
      <c r="H763" s="15"/>
      <c r="I763" s="15"/>
      <c r="J763" s="15"/>
      <c r="L763" s="15"/>
    </row>
    <row r="764" ht="15.75" customHeight="1">
      <c r="A764" s="15"/>
      <c r="B764" s="15"/>
      <c r="C764" s="15"/>
      <c r="D764" s="15"/>
      <c r="E764" s="15"/>
      <c r="F764" s="15"/>
      <c r="G764" s="15"/>
      <c r="H764" s="15"/>
      <c r="I764" s="15"/>
      <c r="J764" s="15"/>
      <c r="L764" s="15"/>
    </row>
    <row r="765" ht="15.75" customHeight="1">
      <c r="A765" s="15"/>
      <c r="B765" s="15"/>
      <c r="C765" s="15"/>
      <c r="D765" s="15"/>
      <c r="E765" s="15"/>
      <c r="F765" s="15"/>
      <c r="G765" s="15"/>
      <c r="H765" s="15"/>
      <c r="I765" s="15"/>
      <c r="J765" s="15"/>
      <c r="L765" s="15"/>
    </row>
    <row r="766" ht="15.75" customHeight="1">
      <c r="A766" s="15"/>
      <c r="B766" s="15"/>
      <c r="C766" s="15"/>
      <c r="D766" s="15"/>
      <c r="E766" s="15"/>
      <c r="F766" s="15"/>
      <c r="G766" s="15"/>
      <c r="H766" s="15"/>
      <c r="I766" s="15"/>
      <c r="J766" s="15"/>
      <c r="L766" s="15"/>
    </row>
    <row r="767" ht="15.75" customHeight="1">
      <c r="A767" s="15"/>
      <c r="B767" s="15"/>
      <c r="C767" s="15"/>
      <c r="D767" s="15"/>
      <c r="E767" s="15"/>
      <c r="F767" s="15"/>
      <c r="G767" s="15"/>
      <c r="H767" s="15"/>
      <c r="I767" s="15"/>
      <c r="J767" s="15"/>
      <c r="L767" s="15"/>
    </row>
    <row r="768" ht="15.75" customHeight="1">
      <c r="A768" s="15"/>
      <c r="B768" s="15"/>
      <c r="C768" s="15"/>
      <c r="D768" s="15"/>
      <c r="E768" s="15"/>
      <c r="F768" s="15"/>
      <c r="G768" s="15"/>
      <c r="H768" s="15"/>
      <c r="I768" s="15"/>
      <c r="J768" s="15"/>
      <c r="L768" s="15"/>
    </row>
    <row r="769" ht="15.75" customHeight="1">
      <c r="A769" s="15"/>
      <c r="B769" s="15"/>
      <c r="C769" s="15"/>
      <c r="D769" s="15"/>
      <c r="E769" s="15"/>
      <c r="F769" s="15"/>
      <c r="G769" s="15"/>
      <c r="H769" s="15"/>
      <c r="I769" s="15"/>
      <c r="J769" s="15"/>
      <c r="L769" s="15"/>
    </row>
    <row r="770" ht="15.75" customHeight="1">
      <c r="A770" s="15"/>
      <c r="B770" s="15"/>
      <c r="C770" s="15"/>
      <c r="D770" s="15"/>
      <c r="E770" s="15"/>
      <c r="F770" s="15"/>
      <c r="G770" s="15"/>
      <c r="H770" s="15"/>
      <c r="I770" s="15"/>
      <c r="J770" s="15"/>
      <c r="L770" s="15"/>
    </row>
    <row r="771" ht="15.75" customHeight="1">
      <c r="A771" s="15"/>
      <c r="B771" s="15"/>
      <c r="C771" s="15"/>
      <c r="D771" s="15"/>
      <c r="E771" s="15"/>
      <c r="F771" s="15"/>
      <c r="G771" s="15"/>
      <c r="H771" s="15"/>
      <c r="I771" s="15"/>
      <c r="J771" s="15"/>
      <c r="L771" s="15"/>
    </row>
    <row r="772" ht="15.75" customHeight="1">
      <c r="A772" s="15"/>
      <c r="B772" s="15"/>
      <c r="C772" s="15"/>
      <c r="D772" s="15"/>
      <c r="E772" s="15"/>
      <c r="F772" s="15"/>
      <c r="G772" s="15"/>
      <c r="H772" s="15"/>
      <c r="I772" s="15"/>
      <c r="J772" s="15"/>
      <c r="L772" s="15"/>
    </row>
    <row r="773" ht="15.75" customHeight="1">
      <c r="A773" s="15"/>
      <c r="B773" s="15"/>
      <c r="C773" s="15"/>
      <c r="D773" s="15"/>
      <c r="E773" s="15"/>
      <c r="F773" s="15"/>
      <c r="G773" s="15"/>
      <c r="H773" s="15"/>
      <c r="I773" s="15"/>
      <c r="J773" s="15"/>
      <c r="L773" s="15"/>
    </row>
    <row r="774" ht="15.75" customHeight="1">
      <c r="A774" s="15"/>
      <c r="B774" s="15"/>
      <c r="C774" s="15"/>
      <c r="D774" s="15"/>
      <c r="E774" s="15"/>
      <c r="F774" s="15"/>
      <c r="G774" s="15"/>
      <c r="H774" s="15"/>
      <c r="I774" s="15"/>
      <c r="J774" s="15"/>
      <c r="L774" s="15"/>
    </row>
    <row r="775" ht="15.75" customHeight="1">
      <c r="A775" s="15"/>
      <c r="B775" s="15"/>
      <c r="C775" s="15"/>
      <c r="D775" s="15"/>
      <c r="E775" s="15"/>
      <c r="F775" s="15"/>
      <c r="G775" s="15"/>
      <c r="H775" s="15"/>
      <c r="I775" s="15"/>
      <c r="J775" s="15"/>
      <c r="L775" s="15"/>
    </row>
    <row r="776" ht="15.75" customHeight="1">
      <c r="A776" s="15"/>
      <c r="B776" s="15"/>
      <c r="C776" s="15"/>
      <c r="D776" s="15"/>
      <c r="E776" s="15"/>
      <c r="F776" s="15"/>
      <c r="G776" s="15"/>
      <c r="H776" s="15"/>
      <c r="I776" s="15"/>
      <c r="J776" s="15"/>
      <c r="L776" s="15"/>
    </row>
    <row r="777" ht="15.75" customHeight="1">
      <c r="A777" s="15"/>
      <c r="B777" s="15"/>
      <c r="C777" s="15"/>
      <c r="D777" s="15"/>
      <c r="E777" s="15"/>
      <c r="F777" s="15"/>
      <c r="G777" s="15"/>
      <c r="H777" s="15"/>
      <c r="I777" s="15"/>
      <c r="J777" s="15"/>
      <c r="L777" s="15"/>
    </row>
    <row r="778" ht="15.75" customHeight="1">
      <c r="A778" s="15"/>
      <c r="B778" s="15"/>
      <c r="C778" s="15"/>
      <c r="D778" s="15"/>
      <c r="E778" s="15"/>
      <c r="F778" s="15"/>
      <c r="G778" s="15"/>
      <c r="H778" s="15"/>
      <c r="I778" s="15"/>
      <c r="J778" s="15"/>
      <c r="L778" s="15"/>
    </row>
    <row r="779" ht="15.75" customHeight="1">
      <c r="A779" s="15"/>
      <c r="B779" s="15"/>
      <c r="C779" s="15"/>
      <c r="D779" s="15"/>
      <c r="E779" s="15"/>
      <c r="F779" s="15"/>
      <c r="G779" s="15"/>
      <c r="H779" s="15"/>
      <c r="I779" s="15"/>
      <c r="J779" s="15"/>
      <c r="L779" s="15"/>
    </row>
    <row r="780" ht="15.75" customHeight="1">
      <c r="A780" s="15"/>
      <c r="B780" s="15"/>
      <c r="C780" s="15"/>
      <c r="D780" s="15"/>
      <c r="E780" s="15"/>
      <c r="F780" s="15"/>
      <c r="G780" s="15"/>
      <c r="H780" s="15"/>
      <c r="I780" s="15"/>
      <c r="J780" s="15"/>
      <c r="L780" s="15"/>
    </row>
    <row r="781" ht="15.75" customHeight="1">
      <c r="A781" s="15"/>
      <c r="B781" s="15"/>
      <c r="C781" s="15"/>
      <c r="D781" s="15"/>
      <c r="E781" s="15"/>
      <c r="F781" s="15"/>
      <c r="G781" s="15"/>
      <c r="H781" s="15"/>
      <c r="I781" s="15"/>
      <c r="J781" s="15"/>
      <c r="L781" s="15"/>
    </row>
    <row r="782" ht="15.75" customHeight="1">
      <c r="A782" s="15"/>
      <c r="B782" s="15"/>
      <c r="C782" s="15"/>
      <c r="D782" s="15"/>
      <c r="E782" s="15"/>
      <c r="F782" s="15"/>
      <c r="G782" s="15"/>
      <c r="H782" s="15"/>
      <c r="I782" s="15"/>
      <c r="J782" s="15"/>
      <c r="L782" s="15"/>
    </row>
    <row r="783" ht="15.75" customHeight="1">
      <c r="A783" s="15"/>
      <c r="B783" s="15"/>
      <c r="C783" s="15"/>
      <c r="D783" s="15"/>
      <c r="E783" s="15"/>
      <c r="F783" s="15"/>
      <c r="G783" s="15"/>
      <c r="H783" s="15"/>
      <c r="I783" s="15"/>
      <c r="J783" s="15"/>
      <c r="L783" s="15"/>
    </row>
    <row r="784" ht="15.75" customHeight="1">
      <c r="A784" s="15"/>
      <c r="B784" s="15"/>
      <c r="C784" s="15"/>
      <c r="D784" s="15"/>
      <c r="E784" s="15"/>
      <c r="F784" s="15"/>
      <c r="G784" s="15"/>
      <c r="H784" s="15"/>
      <c r="I784" s="15"/>
      <c r="J784" s="15"/>
      <c r="L784" s="15"/>
    </row>
    <row r="785" ht="15.75" customHeight="1">
      <c r="A785" s="15"/>
      <c r="B785" s="15"/>
      <c r="C785" s="15"/>
      <c r="D785" s="15"/>
      <c r="E785" s="15"/>
      <c r="F785" s="15"/>
      <c r="G785" s="15"/>
      <c r="H785" s="15"/>
      <c r="I785" s="15"/>
      <c r="J785" s="15"/>
      <c r="L785" s="15"/>
    </row>
    <row r="786" ht="15.75" customHeight="1">
      <c r="A786" s="15"/>
      <c r="B786" s="15"/>
      <c r="C786" s="15"/>
      <c r="D786" s="15"/>
      <c r="E786" s="15"/>
      <c r="F786" s="15"/>
      <c r="G786" s="15"/>
      <c r="H786" s="15"/>
      <c r="I786" s="15"/>
      <c r="J786" s="15"/>
      <c r="L786" s="15"/>
    </row>
    <row r="787" ht="15.75" customHeight="1">
      <c r="A787" s="15"/>
      <c r="B787" s="15"/>
      <c r="C787" s="15"/>
      <c r="D787" s="15"/>
      <c r="E787" s="15"/>
      <c r="F787" s="15"/>
      <c r="G787" s="15"/>
      <c r="H787" s="15"/>
      <c r="I787" s="15"/>
      <c r="J787" s="15"/>
      <c r="L787" s="15"/>
    </row>
    <row r="788" ht="15.75" customHeight="1">
      <c r="A788" s="15"/>
      <c r="B788" s="15"/>
      <c r="C788" s="15"/>
      <c r="D788" s="15"/>
      <c r="E788" s="15"/>
      <c r="F788" s="15"/>
      <c r="G788" s="15"/>
      <c r="H788" s="15"/>
      <c r="I788" s="15"/>
      <c r="J788" s="15"/>
      <c r="L788" s="15"/>
    </row>
    <row r="789" ht="15.75" customHeight="1">
      <c r="A789" s="15"/>
      <c r="B789" s="15"/>
      <c r="C789" s="15"/>
      <c r="D789" s="15"/>
      <c r="E789" s="15"/>
      <c r="F789" s="15"/>
      <c r="G789" s="15"/>
      <c r="H789" s="15"/>
      <c r="I789" s="15"/>
      <c r="J789" s="15"/>
      <c r="L789" s="15"/>
    </row>
    <row r="790" ht="15.75" customHeight="1">
      <c r="A790" s="15"/>
      <c r="B790" s="15"/>
      <c r="C790" s="15"/>
      <c r="D790" s="15"/>
      <c r="E790" s="15"/>
      <c r="F790" s="15"/>
      <c r="G790" s="15"/>
      <c r="H790" s="15"/>
      <c r="I790" s="15"/>
      <c r="J790" s="15"/>
      <c r="L790" s="15"/>
    </row>
    <row r="791" ht="15.75" customHeight="1">
      <c r="A791" s="15"/>
      <c r="B791" s="15"/>
      <c r="C791" s="15"/>
      <c r="D791" s="15"/>
      <c r="E791" s="15"/>
      <c r="F791" s="15"/>
      <c r="G791" s="15"/>
      <c r="H791" s="15"/>
      <c r="I791" s="15"/>
      <c r="J791" s="15"/>
      <c r="L791" s="15"/>
    </row>
    <row r="792" ht="15.75" customHeight="1">
      <c r="A792" s="15"/>
      <c r="B792" s="15"/>
      <c r="C792" s="15"/>
      <c r="D792" s="15"/>
      <c r="E792" s="15"/>
      <c r="F792" s="15"/>
      <c r="G792" s="15"/>
      <c r="H792" s="15"/>
      <c r="I792" s="15"/>
      <c r="J792" s="15"/>
      <c r="L792" s="15"/>
    </row>
    <row r="793" ht="15.75" customHeight="1">
      <c r="A793" s="15"/>
      <c r="B793" s="15"/>
      <c r="C793" s="15"/>
      <c r="D793" s="15"/>
      <c r="E793" s="15"/>
      <c r="F793" s="15"/>
      <c r="G793" s="15"/>
      <c r="H793" s="15"/>
      <c r="I793" s="15"/>
      <c r="J793" s="15"/>
      <c r="L793" s="15"/>
    </row>
    <row r="794" ht="15.75" customHeight="1">
      <c r="A794" s="15"/>
      <c r="B794" s="15"/>
      <c r="C794" s="15"/>
      <c r="D794" s="15"/>
      <c r="E794" s="15"/>
      <c r="F794" s="15"/>
      <c r="G794" s="15"/>
      <c r="H794" s="15"/>
      <c r="I794" s="15"/>
      <c r="J794" s="15"/>
      <c r="L794" s="15"/>
    </row>
    <row r="795" ht="15.75" customHeight="1">
      <c r="A795" s="15"/>
      <c r="B795" s="15"/>
      <c r="C795" s="15"/>
      <c r="D795" s="15"/>
      <c r="E795" s="15"/>
      <c r="F795" s="15"/>
      <c r="G795" s="15"/>
      <c r="H795" s="15"/>
      <c r="I795" s="15"/>
      <c r="J795" s="15"/>
      <c r="L795" s="15"/>
    </row>
    <row r="796" ht="15.75" customHeight="1">
      <c r="A796" s="15"/>
      <c r="B796" s="15"/>
      <c r="C796" s="15"/>
      <c r="D796" s="15"/>
      <c r="E796" s="15"/>
      <c r="F796" s="15"/>
      <c r="G796" s="15"/>
      <c r="H796" s="15"/>
      <c r="I796" s="15"/>
      <c r="J796" s="15"/>
      <c r="L796" s="15"/>
    </row>
    <row r="797" ht="15.75" customHeight="1">
      <c r="A797" s="15"/>
      <c r="B797" s="15"/>
      <c r="C797" s="15"/>
      <c r="D797" s="15"/>
      <c r="E797" s="15"/>
      <c r="F797" s="15"/>
      <c r="G797" s="15"/>
      <c r="H797" s="15"/>
      <c r="I797" s="15"/>
      <c r="J797" s="15"/>
      <c r="L797" s="15"/>
    </row>
    <row r="798" ht="15.75" customHeight="1">
      <c r="A798" s="15"/>
      <c r="B798" s="15"/>
      <c r="C798" s="15"/>
      <c r="D798" s="15"/>
      <c r="E798" s="15"/>
      <c r="F798" s="15"/>
      <c r="G798" s="15"/>
      <c r="H798" s="15"/>
      <c r="I798" s="15"/>
      <c r="J798" s="15"/>
      <c r="L798" s="15"/>
    </row>
    <row r="799" ht="15.75" customHeight="1">
      <c r="A799" s="15"/>
      <c r="B799" s="15"/>
      <c r="C799" s="15"/>
      <c r="D799" s="15"/>
      <c r="E799" s="15"/>
      <c r="F799" s="15"/>
      <c r="G799" s="15"/>
      <c r="H799" s="15"/>
      <c r="I799" s="15"/>
      <c r="J799" s="15"/>
      <c r="L799" s="15"/>
    </row>
    <row r="800" ht="15.75" customHeight="1">
      <c r="A800" s="15"/>
      <c r="B800" s="15"/>
      <c r="C800" s="15"/>
      <c r="D800" s="15"/>
      <c r="E800" s="15"/>
      <c r="F800" s="15"/>
      <c r="G800" s="15"/>
      <c r="H800" s="15"/>
      <c r="I800" s="15"/>
      <c r="J800" s="15"/>
      <c r="L800" s="15"/>
    </row>
    <row r="801" ht="15.75" customHeight="1">
      <c r="A801" s="15"/>
      <c r="B801" s="15"/>
      <c r="C801" s="15"/>
      <c r="D801" s="15"/>
      <c r="E801" s="15"/>
      <c r="F801" s="15"/>
      <c r="G801" s="15"/>
      <c r="H801" s="15"/>
      <c r="I801" s="15"/>
      <c r="J801" s="15"/>
      <c r="L801" s="15"/>
    </row>
    <row r="802" ht="15.75" customHeight="1">
      <c r="A802" s="15"/>
      <c r="B802" s="15"/>
      <c r="C802" s="15"/>
      <c r="D802" s="15"/>
      <c r="E802" s="15"/>
      <c r="F802" s="15"/>
      <c r="G802" s="15"/>
      <c r="H802" s="15"/>
      <c r="I802" s="15"/>
      <c r="J802" s="15"/>
      <c r="L802" s="15"/>
    </row>
    <row r="803" ht="15.75" customHeight="1">
      <c r="A803" s="15"/>
      <c r="B803" s="15"/>
      <c r="C803" s="15"/>
      <c r="D803" s="15"/>
      <c r="E803" s="15"/>
      <c r="F803" s="15"/>
      <c r="G803" s="15"/>
      <c r="H803" s="15"/>
      <c r="I803" s="15"/>
      <c r="J803" s="15"/>
      <c r="L803" s="15"/>
    </row>
    <row r="804" ht="15.75" customHeight="1">
      <c r="A804" s="15"/>
      <c r="B804" s="15"/>
      <c r="C804" s="15"/>
      <c r="D804" s="15"/>
      <c r="E804" s="15"/>
      <c r="F804" s="15"/>
      <c r="G804" s="15"/>
      <c r="H804" s="15"/>
      <c r="I804" s="15"/>
      <c r="J804" s="15"/>
      <c r="L804" s="15"/>
    </row>
    <row r="805" ht="15.75" customHeight="1">
      <c r="A805" s="15"/>
      <c r="B805" s="15"/>
      <c r="C805" s="15"/>
      <c r="D805" s="15"/>
      <c r="E805" s="15"/>
      <c r="F805" s="15"/>
      <c r="G805" s="15"/>
      <c r="H805" s="15"/>
      <c r="I805" s="15"/>
      <c r="J805" s="15"/>
      <c r="L805" s="15"/>
    </row>
    <row r="806" ht="15.75" customHeight="1">
      <c r="A806" s="15"/>
      <c r="B806" s="15"/>
      <c r="C806" s="15"/>
      <c r="D806" s="15"/>
      <c r="E806" s="15"/>
      <c r="F806" s="15"/>
      <c r="G806" s="15"/>
      <c r="H806" s="15"/>
      <c r="I806" s="15"/>
      <c r="J806" s="15"/>
      <c r="L806" s="15"/>
    </row>
    <row r="807" ht="15.75" customHeight="1">
      <c r="A807" s="15"/>
      <c r="B807" s="15"/>
      <c r="C807" s="15"/>
      <c r="D807" s="15"/>
      <c r="E807" s="15"/>
      <c r="F807" s="15"/>
      <c r="G807" s="15"/>
      <c r="H807" s="15"/>
      <c r="I807" s="15"/>
      <c r="J807" s="15"/>
      <c r="L807" s="15"/>
    </row>
    <row r="808" ht="15.75" customHeight="1">
      <c r="A808" s="15"/>
      <c r="B808" s="15"/>
      <c r="C808" s="15"/>
      <c r="D808" s="15"/>
      <c r="E808" s="15"/>
      <c r="F808" s="15"/>
      <c r="G808" s="15"/>
      <c r="H808" s="15"/>
      <c r="I808" s="15"/>
      <c r="J808" s="15"/>
      <c r="L808" s="15"/>
    </row>
    <row r="809" ht="15.75" customHeight="1">
      <c r="A809" s="15"/>
      <c r="B809" s="15"/>
      <c r="C809" s="15"/>
      <c r="D809" s="15"/>
      <c r="E809" s="15"/>
      <c r="F809" s="15"/>
      <c r="G809" s="15"/>
      <c r="H809" s="15"/>
      <c r="I809" s="15"/>
      <c r="J809" s="15"/>
      <c r="L809" s="15"/>
    </row>
    <row r="810" ht="15.75" customHeight="1">
      <c r="A810" s="15"/>
      <c r="B810" s="15"/>
      <c r="C810" s="15"/>
      <c r="D810" s="15"/>
      <c r="E810" s="15"/>
      <c r="F810" s="15"/>
      <c r="G810" s="15"/>
      <c r="H810" s="15"/>
      <c r="I810" s="15"/>
      <c r="J810" s="15"/>
      <c r="L810" s="15"/>
    </row>
    <row r="811" ht="15.75" customHeight="1">
      <c r="A811" s="15"/>
      <c r="B811" s="15"/>
      <c r="C811" s="15"/>
      <c r="D811" s="15"/>
      <c r="E811" s="15"/>
      <c r="F811" s="15"/>
      <c r="G811" s="15"/>
      <c r="H811" s="15"/>
      <c r="I811" s="15"/>
      <c r="J811" s="15"/>
      <c r="L811" s="15"/>
    </row>
    <row r="812" ht="15.75" customHeight="1">
      <c r="A812" s="15"/>
      <c r="B812" s="15"/>
      <c r="C812" s="15"/>
      <c r="D812" s="15"/>
      <c r="E812" s="15"/>
      <c r="F812" s="15"/>
      <c r="G812" s="15"/>
      <c r="H812" s="15"/>
      <c r="I812" s="15"/>
      <c r="J812" s="15"/>
      <c r="L812" s="15"/>
    </row>
    <row r="813" ht="15.75" customHeight="1">
      <c r="A813" s="15"/>
      <c r="B813" s="15"/>
      <c r="C813" s="15"/>
      <c r="D813" s="15"/>
      <c r="E813" s="15"/>
      <c r="F813" s="15"/>
      <c r="G813" s="15"/>
      <c r="H813" s="15"/>
      <c r="I813" s="15"/>
      <c r="J813" s="15"/>
      <c r="L813" s="15"/>
    </row>
    <row r="814" ht="15.75" customHeight="1">
      <c r="A814" s="15"/>
      <c r="B814" s="15"/>
      <c r="C814" s="15"/>
      <c r="D814" s="15"/>
      <c r="E814" s="15"/>
      <c r="F814" s="15"/>
      <c r="G814" s="15"/>
      <c r="H814" s="15"/>
      <c r="I814" s="15"/>
      <c r="J814" s="15"/>
      <c r="L814" s="15"/>
    </row>
    <row r="815" ht="15.75" customHeight="1">
      <c r="A815" s="15"/>
      <c r="B815" s="15"/>
      <c r="C815" s="15"/>
      <c r="D815" s="15"/>
      <c r="E815" s="15"/>
      <c r="F815" s="15"/>
      <c r="G815" s="15"/>
      <c r="H815" s="15"/>
      <c r="I815" s="15"/>
      <c r="J815" s="15"/>
      <c r="L815" s="15"/>
    </row>
    <row r="816" ht="15.75" customHeight="1">
      <c r="A816" s="15"/>
      <c r="B816" s="15"/>
      <c r="C816" s="15"/>
      <c r="D816" s="15"/>
      <c r="E816" s="15"/>
      <c r="F816" s="15"/>
      <c r="G816" s="15"/>
      <c r="H816" s="15"/>
      <c r="I816" s="15"/>
      <c r="J816" s="15"/>
      <c r="L816" s="15"/>
    </row>
    <row r="817" ht="15.75" customHeight="1">
      <c r="A817" s="15"/>
      <c r="B817" s="15"/>
      <c r="C817" s="15"/>
      <c r="D817" s="15"/>
      <c r="E817" s="15"/>
      <c r="F817" s="15"/>
      <c r="G817" s="15"/>
      <c r="H817" s="15"/>
      <c r="I817" s="15"/>
      <c r="J817" s="15"/>
      <c r="L817" s="15"/>
    </row>
    <row r="818" ht="15.75" customHeight="1">
      <c r="A818" s="15"/>
      <c r="B818" s="15"/>
      <c r="C818" s="15"/>
      <c r="D818" s="15"/>
      <c r="E818" s="15"/>
      <c r="F818" s="15"/>
      <c r="G818" s="15"/>
      <c r="H818" s="15"/>
      <c r="I818" s="15"/>
      <c r="J818" s="15"/>
      <c r="L818" s="15"/>
    </row>
    <row r="819" ht="15.75" customHeight="1">
      <c r="A819" s="15"/>
      <c r="B819" s="15"/>
      <c r="C819" s="15"/>
      <c r="D819" s="15"/>
      <c r="E819" s="15"/>
      <c r="F819" s="15"/>
      <c r="G819" s="15"/>
      <c r="H819" s="15"/>
      <c r="I819" s="15"/>
      <c r="J819" s="15"/>
      <c r="L819" s="15"/>
    </row>
    <row r="820" ht="15.75" customHeight="1">
      <c r="A820" s="15"/>
      <c r="B820" s="15"/>
      <c r="C820" s="15"/>
      <c r="D820" s="15"/>
      <c r="E820" s="15"/>
      <c r="F820" s="15"/>
      <c r="G820" s="15"/>
      <c r="H820" s="15"/>
      <c r="I820" s="15"/>
      <c r="J820" s="15"/>
      <c r="L820" s="15"/>
    </row>
    <row r="821" ht="15.75" customHeight="1">
      <c r="A821" s="15"/>
      <c r="B821" s="15"/>
      <c r="C821" s="15"/>
      <c r="D821" s="15"/>
      <c r="E821" s="15"/>
      <c r="F821" s="15"/>
      <c r="G821" s="15"/>
      <c r="H821" s="15"/>
      <c r="I821" s="15"/>
      <c r="J821" s="15"/>
      <c r="L821" s="15"/>
    </row>
    <row r="822" ht="15.75" customHeight="1">
      <c r="A822" s="15"/>
      <c r="B822" s="15"/>
      <c r="C822" s="15"/>
      <c r="D822" s="15"/>
      <c r="E822" s="15"/>
      <c r="F822" s="15"/>
      <c r="G822" s="15"/>
      <c r="H822" s="15"/>
      <c r="I822" s="15"/>
      <c r="J822" s="15"/>
      <c r="L822" s="15"/>
    </row>
    <row r="823" ht="15.75" customHeight="1">
      <c r="A823" s="15"/>
      <c r="B823" s="15"/>
      <c r="C823" s="15"/>
      <c r="D823" s="15"/>
      <c r="E823" s="15"/>
      <c r="F823" s="15"/>
      <c r="G823" s="15"/>
      <c r="H823" s="15"/>
      <c r="I823" s="15"/>
      <c r="J823" s="15"/>
      <c r="L823" s="15"/>
    </row>
    <row r="824" ht="15.75" customHeight="1">
      <c r="A824" s="15"/>
      <c r="B824" s="15"/>
      <c r="C824" s="15"/>
      <c r="D824" s="15"/>
      <c r="E824" s="15"/>
      <c r="F824" s="15"/>
      <c r="G824" s="15"/>
      <c r="H824" s="15"/>
      <c r="I824" s="15"/>
      <c r="J824" s="15"/>
      <c r="L824" s="15"/>
    </row>
    <row r="825" ht="15.75" customHeight="1">
      <c r="A825" s="15"/>
      <c r="B825" s="15"/>
      <c r="C825" s="15"/>
      <c r="D825" s="15"/>
      <c r="E825" s="15"/>
      <c r="F825" s="15"/>
      <c r="G825" s="15"/>
      <c r="H825" s="15"/>
      <c r="I825" s="15"/>
      <c r="J825" s="15"/>
      <c r="L825" s="15"/>
    </row>
    <row r="826" ht="15.75" customHeight="1">
      <c r="A826" s="15"/>
      <c r="B826" s="15"/>
      <c r="C826" s="15"/>
      <c r="D826" s="15"/>
      <c r="E826" s="15"/>
      <c r="F826" s="15"/>
      <c r="G826" s="15"/>
      <c r="H826" s="15"/>
      <c r="I826" s="15"/>
      <c r="J826" s="15"/>
      <c r="L826" s="15"/>
    </row>
    <row r="827" ht="15.75" customHeight="1">
      <c r="A827" s="15"/>
      <c r="B827" s="15"/>
      <c r="C827" s="15"/>
      <c r="D827" s="15"/>
      <c r="E827" s="15"/>
      <c r="F827" s="15"/>
      <c r="G827" s="15"/>
      <c r="H827" s="15"/>
      <c r="I827" s="15"/>
      <c r="J827" s="15"/>
      <c r="L827" s="15"/>
    </row>
    <row r="828" ht="15.75" customHeight="1">
      <c r="A828" s="15"/>
      <c r="B828" s="15"/>
      <c r="C828" s="15"/>
      <c r="D828" s="15"/>
      <c r="E828" s="15"/>
      <c r="F828" s="15"/>
      <c r="G828" s="15"/>
      <c r="H828" s="15"/>
      <c r="I828" s="15"/>
      <c r="J828" s="15"/>
      <c r="L828" s="15"/>
    </row>
    <row r="829" ht="15.75" customHeight="1">
      <c r="A829" s="15"/>
      <c r="B829" s="15"/>
      <c r="C829" s="15"/>
      <c r="D829" s="15"/>
      <c r="E829" s="15"/>
      <c r="F829" s="15"/>
      <c r="G829" s="15"/>
      <c r="H829" s="15"/>
      <c r="I829" s="15"/>
      <c r="J829" s="15"/>
      <c r="L829" s="15"/>
    </row>
    <row r="830" ht="15.75" customHeight="1">
      <c r="A830" s="15"/>
      <c r="B830" s="15"/>
      <c r="C830" s="15"/>
      <c r="D830" s="15"/>
      <c r="E830" s="15"/>
      <c r="F830" s="15"/>
      <c r="G830" s="15"/>
      <c r="H830" s="15"/>
      <c r="I830" s="15"/>
      <c r="J830" s="15"/>
      <c r="L830" s="15"/>
    </row>
    <row r="831" ht="15.75" customHeight="1">
      <c r="A831" s="15"/>
      <c r="B831" s="15"/>
      <c r="C831" s="15"/>
      <c r="D831" s="15"/>
      <c r="E831" s="15"/>
      <c r="F831" s="15"/>
      <c r="G831" s="15"/>
      <c r="H831" s="15"/>
      <c r="I831" s="15"/>
      <c r="J831" s="15"/>
      <c r="L831" s="15"/>
    </row>
    <row r="832" ht="15.75" customHeight="1">
      <c r="A832" s="15"/>
      <c r="B832" s="15"/>
      <c r="C832" s="15"/>
      <c r="D832" s="15"/>
      <c r="E832" s="15"/>
      <c r="F832" s="15"/>
      <c r="G832" s="15"/>
      <c r="H832" s="15"/>
      <c r="I832" s="15"/>
      <c r="J832" s="15"/>
      <c r="L832" s="15"/>
    </row>
    <row r="833" ht="15.75" customHeight="1">
      <c r="A833" s="15"/>
      <c r="B833" s="15"/>
      <c r="C833" s="15"/>
      <c r="D833" s="15"/>
      <c r="E833" s="15"/>
      <c r="F833" s="15"/>
      <c r="G833" s="15"/>
      <c r="H833" s="15"/>
      <c r="I833" s="15"/>
      <c r="J833" s="15"/>
      <c r="L833" s="15"/>
    </row>
    <row r="834" ht="15.75" customHeight="1">
      <c r="A834" s="15"/>
      <c r="B834" s="15"/>
      <c r="C834" s="15"/>
      <c r="D834" s="15"/>
      <c r="E834" s="15"/>
      <c r="F834" s="15"/>
      <c r="G834" s="15"/>
      <c r="H834" s="15"/>
      <c r="I834" s="15"/>
      <c r="J834" s="15"/>
      <c r="L834" s="15"/>
    </row>
    <row r="835" ht="15.75" customHeight="1">
      <c r="A835" s="15"/>
      <c r="B835" s="15"/>
      <c r="C835" s="15"/>
      <c r="D835" s="15"/>
      <c r="E835" s="15"/>
      <c r="F835" s="15"/>
      <c r="G835" s="15"/>
      <c r="H835" s="15"/>
      <c r="I835" s="15"/>
      <c r="J835" s="15"/>
      <c r="L835" s="15"/>
    </row>
    <row r="836" ht="15.75" customHeight="1">
      <c r="A836" s="15"/>
      <c r="B836" s="15"/>
      <c r="C836" s="15"/>
      <c r="D836" s="15"/>
      <c r="E836" s="15"/>
      <c r="F836" s="15"/>
      <c r="G836" s="15"/>
      <c r="H836" s="15"/>
      <c r="I836" s="15"/>
      <c r="J836" s="15"/>
      <c r="L836" s="15"/>
    </row>
    <row r="837" ht="15.75" customHeight="1">
      <c r="A837" s="15"/>
      <c r="B837" s="15"/>
      <c r="C837" s="15"/>
      <c r="D837" s="15"/>
      <c r="E837" s="15"/>
      <c r="F837" s="15"/>
      <c r="G837" s="15"/>
      <c r="H837" s="15"/>
      <c r="I837" s="15"/>
      <c r="J837" s="15"/>
      <c r="L837" s="15"/>
    </row>
    <row r="838" ht="15.75" customHeight="1">
      <c r="A838" s="15"/>
      <c r="B838" s="15"/>
      <c r="C838" s="15"/>
      <c r="D838" s="15"/>
      <c r="E838" s="15"/>
      <c r="F838" s="15"/>
      <c r="G838" s="15"/>
      <c r="H838" s="15"/>
      <c r="I838" s="15"/>
      <c r="J838" s="15"/>
      <c r="L838" s="15"/>
    </row>
    <row r="839" ht="15.75" customHeight="1">
      <c r="A839" s="15"/>
      <c r="B839" s="15"/>
      <c r="C839" s="15"/>
      <c r="D839" s="15"/>
      <c r="E839" s="15"/>
      <c r="F839" s="15"/>
      <c r="G839" s="15"/>
      <c r="H839" s="15"/>
      <c r="I839" s="15"/>
      <c r="J839" s="15"/>
      <c r="L839" s="15"/>
    </row>
    <row r="840" ht="15.75" customHeight="1">
      <c r="A840" s="15"/>
      <c r="B840" s="15"/>
      <c r="C840" s="15"/>
      <c r="D840" s="15"/>
      <c r="E840" s="15"/>
      <c r="F840" s="15"/>
      <c r="G840" s="15"/>
      <c r="H840" s="15"/>
      <c r="I840" s="15"/>
      <c r="J840" s="15"/>
      <c r="L840" s="15"/>
    </row>
    <row r="841" ht="15.75" customHeight="1">
      <c r="A841" s="15"/>
      <c r="B841" s="15"/>
      <c r="C841" s="15"/>
      <c r="D841" s="15"/>
      <c r="E841" s="15"/>
      <c r="F841" s="15"/>
      <c r="G841" s="15"/>
      <c r="H841" s="15"/>
      <c r="I841" s="15"/>
      <c r="J841" s="15"/>
      <c r="L841" s="15"/>
    </row>
    <row r="842" ht="15.75" customHeight="1">
      <c r="A842" s="15"/>
      <c r="B842" s="15"/>
      <c r="C842" s="15"/>
      <c r="D842" s="15"/>
      <c r="E842" s="15"/>
      <c r="F842" s="15"/>
      <c r="G842" s="15"/>
      <c r="H842" s="15"/>
      <c r="I842" s="15"/>
      <c r="J842" s="15"/>
      <c r="L842" s="15"/>
    </row>
    <row r="843" ht="15.75" customHeight="1">
      <c r="A843" s="15"/>
      <c r="B843" s="15"/>
      <c r="C843" s="15"/>
      <c r="D843" s="15"/>
      <c r="E843" s="15"/>
      <c r="F843" s="15"/>
      <c r="G843" s="15"/>
      <c r="H843" s="15"/>
      <c r="I843" s="15"/>
      <c r="J843" s="15"/>
      <c r="L843" s="15"/>
    </row>
    <row r="844" ht="15.75" customHeight="1">
      <c r="A844" s="15"/>
      <c r="B844" s="15"/>
      <c r="C844" s="15"/>
      <c r="D844" s="15"/>
      <c r="E844" s="15"/>
      <c r="F844" s="15"/>
      <c r="G844" s="15"/>
      <c r="H844" s="15"/>
      <c r="I844" s="15"/>
      <c r="J844" s="15"/>
      <c r="L844" s="15"/>
    </row>
    <row r="845" ht="15.75" customHeight="1">
      <c r="A845" s="15"/>
      <c r="B845" s="15"/>
      <c r="C845" s="15"/>
      <c r="D845" s="15"/>
      <c r="E845" s="15"/>
      <c r="F845" s="15"/>
      <c r="G845" s="15"/>
      <c r="H845" s="15"/>
      <c r="I845" s="15"/>
      <c r="J845" s="15"/>
      <c r="L845" s="15"/>
    </row>
    <row r="846" ht="15.75" customHeight="1">
      <c r="A846" s="15"/>
      <c r="B846" s="15"/>
      <c r="C846" s="15"/>
      <c r="D846" s="15"/>
      <c r="E846" s="15"/>
      <c r="F846" s="15"/>
      <c r="G846" s="15"/>
      <c r="H846" s="15"/>
      <c r="I846" s="15"/>
      <c r="J846" s="15"/>
      <c r="L846" s="15"/>
    </row>
    <row r="847" ht="15.75" customHeight="1">
      <c r="A847" s="15"/>
      <c r="B847" s="15"/>
      <c r="C847" s="15"/>
      <c r="D847" s="15"/>
      <c r="E847" s="15"/>
      <c r="F847" s="15"/>
      <c r="G847" s="15"/>
      <c r="H847" s="15"/>
      <c r="I847" s="15"/>
      <c r="J847" s="15"/>
      <c r="L847" s="15"/>
    </row>
    <row r="848" ht="15.75" customHeight="1">
      <c r="A848" s="15"/>
      <c r="B848" s="15"/>
      <c r="C848" s="15"/>
      <c r="D848" s="15"/>
      <c r="E848" s="15"/>
      <c r="F848" s="15"/>
      <c r="G848" s="15"/>
      <c r="H848" s="15"/>
      <c r="I848" s="15"/>
      <c r="J848" s="15"/>
      <c r="L848" s="15"/>
    </row>
    <row r="849" ht="15.75" customHeight="1">
      <c r="A849" s="15"/>
      <c r="B849" s="15"/>
      <c r="C849" s="15"/>
      <c r="D849" s="15"/>
      <c r="E849" s="15"/>
      <c r="F849" s="15"/>
      <c r="G849" s="15"/>
      <c r="H849" s="15"/>
      <c r="I849" s="15"/>
      <c r="J849" s="15"/>
      <c r="L849" s="15"/>
    </row>
    <row r="850" ht="15.75" customHeight="1">
      <c r="A850" s="15"/>
      <c r="B850" s="15"/>
      <c r="C850" s="15"/>
      <c r="D850" s="15"/>
      <c r="E850" s="15"/>
      <c r="F850" s="15"/>
      <c r="G850" s="15"/>
      <c r="H850" s="15"/>
      <c r="I850" s="15"/>
      <c r="J850" s="15"/>
      <c r="L850" s="15"/>
    </row>
    <row r="851" ht="15.75" customHeight="1">
      <c r="A851" s="15"/>
      <c r="B851" s="15"/>
      <c r="C851" s="15"/>
      <c r="D851" s="15"/>
      <c r="E851" s="15"/>
      <c r="F851" s="15"/>
      <c r="G851" s="15"/>
      <c r="H851" s="15"/>
      <c r="I851" s="15"/>
      <c r="J851" s="15"/>
      <c r="L851" s="15"/>
    </row>
    <row r="852" ht="15.75" customHeight="1">
      <c r="A852" s="15"/>
      <c r="B852" s="15"/>
      <c r="C852" s="15"/>
      <c r="D852" s="15"/>
      <c r="E852" s="15"/>
      <c r="F852" s="15"/>
      <c r="G852" s="15"/>
      <c r="H852" s="15"/>
      <c r="I852" s="15"/>
      <c r="J852" s="15"/>
      <c r="L852" s="15"/>
    </row>
    <row r="853" ht="15.75" customHeight="1">
      <c r="A853" s="15"/>
      <c r="B853" s="15"/>
      <c r="C853" s="15"/>
      <c r="D853" s="15"/>
      <c r="E853" s="15"/>
      <c r="F853" s="15"/>
      <c r="G853" s="15"/>
      <c r="H853" s="15"/>
      <c r="I853" s="15"/>
      <c r="J853" s="15"/>
      <c r="L853" s="15"/>
    </row>
    <row r="854" ht="15.75" customHeight="1">
      <c r="A854" s="15"/>
      <c r="B854" s="15"/>
      <c r="C854" s="15"/>
      <c r="D854" s="15"/>
      <c r="E854" s="15"/>
      <c r="F854" s="15"/>
      <c r="G854" s="15"/>
      <c r="H854" s="15"/>
      <c r="I854" s="15"/>
      <c r="J854" s="15"/>
      <c r="L854" s="15"/>
    </row>
    <row r="855" ht="15.75" customHeight="1">
      <c r="A855" s="15"/>
      <c r="B855" s="15"/>
      <c r="C855" s="15"/>
      <c r="D855" s="15"/>
      <c r="E855" s="15"/>
      <c r="F855" s="15"/>
      <c r="G855" s="15"/>
      <c r="H855" s="15"/>
      <c r="I855" s="15"/>
      <c r="J855" s="15"/>
      <c r="L855" s="15"/>
    </row>
    <row r="856" ht="15.75" customHeight="1">
      <c r="A856" s="15"/>
      <c r="B856" s="15"/>
      <c r="C856" s="15"/>
      <c r="D856" s="15"/>
      <c r="E856" s="15"/>
      <c r="F856" s="15"/>
      <c r="G856" s="15"/>
      <c r="H856" s="15"/>
      <c r="I856" s="15"/>
      <c r="J856" s="15"/>
      <c r="L856" s="15"/>
    </row>
    <row r="857" ht="15.75" customHeight="1">
      <c r="A857" s="15"/>
      <c r="B857" s="15"/>
      <c r="C857" s="15"/>
      <c r="D857" s="15"/>
      <c r="E857" s="15"/>
      <c r="F857" s="15"/>
      <c r="G857" s="15"/>
      <c r="H857" s="15"/>
      <c r="I857" s="15"/>
      <c r="J857" s="15"/>
      <c r="L857" s="15"/>
    </row>
    <row r="858" ht="15.75" customHeight="1">
      <c r="A858" s="15"/>
      <c r="B858" s="15"/>
      <c r="C858" s="15"/>
      <c r="D858" s="15"/>
      <c r="E858" s="15"/>
      <c r="F858" s="15"/>
      <c r="G858" s="15"/>
      <c r="H858" s="15"/>
      <c r="I858" s="15"/>
      <c r="J858" s="15"/>
      <c r="L858" s="15"/>
    </row>
    <row r="859" ht="15.75" customHeight="1">
      <c r="A859" s="15"/>
      <c r="B859" s="15"/>
      <c r="C859" s="15"/>
      <c r="D859" s="15"/>
      <c r="E859" s="15"/>
      <c r="F859" s="15"/>
      <c r="G859" s="15"/>
      <c r="H859" s="15"/>
      <c r="I859" s="15"/>
      <c r="J859" s="15"/>
      <c r="L859" s="15"/>
    </row>
    <row r="860" ht="15.75" customHeight="1">
      <c r="A860" s="15"/>
      <c r="B860" s="15"/>
      <c r="C860" s="15"/>
      <c r="D860" s="15"/>
      <c r="E860" s="15"/>
      <c r="F860" s="15"/>
      <c r="G860" s="15"/>
      <c r="H860" s="15"/>
      <c r="I860" s="15"/>
      <c r="J860" s="15"/>
      <c r="L860" s="15"/>
    </row>
    <row r="861" ht="15.75" customHeight="1">
      <c r="A861" s="15"/>
      <c r="B861" s="15"/>
      <c r="C861" s="15"/>
      <c r="D861" s="15"/>
      <c r="E861" s="15"/>
      <c r="F861" s="15"/>
      <c r="G861" s="15"/>
      <c r="H861" s="15"/>
      <c r="I861" s="15"/>
      <c r="J861" s="15"/>
      <c r="L861" s="15"/>
    </row>
    <row r="862" ht="15.75" customHeight="1">
      <c r="A862" s="15"/>
      <c r="B862" s="15"/>
      <c r="C862" s="15"/>
      <c r="D862" s="15"/>
      <c r="E862" s="15"/>
      <c r="F862" s="15"/>
      <c r="G862" s="15"/>
      <c r="H862" s="15"/>
      <c r="I862" s="15"/>
      <c r="J862" s="15"/>
      <c r="L862" s="15"/>
    </row>
    <row r="863" ht="15.75" customHeight="1">
      <c r="A863" s="15"/>
      <c r="B863" s="15"/>
      <c r="C863" s="15"/>
      <c r="D863" s="15"/>
      <c r="E863" s="15"/>
      <c r="F863" s="15"/>
      <c r="G863" s="15"/>
      <c r="H863" s="15"/>
      <c r="I863" s="15"/>
      <c r="J863" s="15"/>
      <c r="L863" s="15"/>
    </row>
    <row r="864" ht="15.75" customHeight="1">
      <c r="A864" s="15"/>
      <c r="B864" s="15"/>
      <c r="C864" s="15"/>
      <c r="D864" s="15"/>
      <c r="E864" s="15"/>
      <c r="F864" s="15"/>
      <c r="G864" s="15"/>
      <c r="H864" s="15"/>
      <c r="I864" s="15"/>
      <c r="J864" s="15"/>
      <c r="L864" s="15"/>
    </row>
    <row r="865" ht="15.75" customHeight="1">
      <c r="A865" s="15"/>
      <c r="B865" s="15"/>
      <c r="C865" s="15"/>
      <c r="D865" s="15"/>
      <c r="E865" s="15"/>
      <c r="F865" s="15"/>
      <c r="G865" s="15"/>
      <c r="H865" s="15"/>
      <c r="I865" s="15"/>
      <c r="J865" s="15"/>
      <c r="L865" s="15"/>
    </row>
    <row r="866" ht="15.75" customHeight="1">
      <c r="A866" s="15"/>
      <c r="B866" s="15"/>
      <c r="C866" s="15"/>
      <c r="D866" s="15"/>
      <c r="E866" s="15"/>
      <c r="F866" s="15"/>
      <c r="G866" s="15"/>
      <c r="H866" s="15"/>
      <c r="I866" s="15"/>
      <c r="J866" s="15"/>
      <c r="L866" s="15"/>
    </row>
    <row r="867" ht="15.75" customHeight="1">
      <c r="A867" s="15"/>
      <c r="B867" s="15"/>
      <c r="C867" s="15"/>
      <c r="D867" s="15"/>
      <c r="E867" s="15"/>
      <c r="F867" s="15"/>
      <c r="G867" s="15"/>
      <c r="H867" s="15"/>
      <c r="I867" s="15"/>
      <c r="J867" s="15"/>
      <c r="L867" s="15"/>
    </row>
    <row r="868" ht="15.75" customHeight="1">
      <c r="A868" s="15"/>
      <c r="B868" s="15"/>
      <c r="C868" s="15"/>
      <c r="D868" s="15"/>
      <c r="E868" s="15"/>
      <c r="F868" s="15"/>
      <c r="G868" s="15"/>
      <c r="H868" s="15"/>
      <c r="I868" s="15"/>
      <c r="J868" s="15"/>
      <c r="L868" s="15"/>
    </row>
    <row r="869" ht="15.75" customHeight="1">
      <c r="A869" s="15"/>
      <c r="B869" s="15"/>
      <c r="C869" s="15"/>
      <c r="D869" s="15"/>
      <c r="E869" s="15"/>
      <c r="F869" s="15"/>
      <c r="G869" s="15"/>
      <c r="H869" s="15"/>
      <c r="I869" s="15"/>
      <c r="J869" s="15"/>
      <c r="L869" s="15"/>
    </row>
    <row r="870" ht="15.75" customHeight="1">
      <c r="A870" s="15"/>
      <c r="B870" s="15"/>
      <c r="C870" s="15"/>
      <c r="D870" s="15"/>
      <c r="E870" s="15"/>
      <c r="F870" s="15"/>
      <c r="G870" s="15"/>
      <c r="H870" s="15"/>
      <c r="I870" s="15"/>
      <c r="J870" s="15"/>
      <c r="L870" s="15"/>
    </row>
    <row r="871" ht="15.75" customHeight="1">
      <c r="A871" s="15"/>
      <c r="B871" s="15"/>
      <c r="C871" s="15"/>
      <c r="D871" s="15"/>
      <c r="E871" s="15"/>
      <c r="F871" s="15"/>
      <c r="G871" s="15"/>
      <c r="H871" s="15"/>
      <c r="I871" s="15"/>
      <c r="J871" s="15"/>
      <c r="L871" s="15"/>
    </row>
    <row r="872" ht="15.75" customHeight="1">
      <c r="A872" s="15"/>
      <c r="B872" s="15"/>
      <c r="C872" s="15"/>
      <c r="D872" s="15"/>
      <c r="E872" s="15"/>
      <c r="F872" s="15"/>
      <c r="G872" s="15"/>
      <c r="H872" s="15"/>
      <c r="I872" s="15"/>
      <c r="J872" s="15"/>
      <c r="L872" s="15"/>
    </row>
    <row r="873" ht="15.75" customHeight="1">
      <c r="A873" s="15"/>
      <c r="B873" s="15"/>
      <c r="C873" s="15"/>
      <c r="D873" s="15"/>
      <c r="E873" s="15"/>
      <c r="F873" s="15"/>
      <c r="G873" s="15"/>
      <c r="H873" s="15"/>
      <c r="I873" s="15"/>
      <c r="J873" s="15"/>
      <c r="L873" s="15"/>
    </row>
    <row r="874" ht="15.75" customHeight="1">
      <c r="A874" s="15"/>
      <c r="B874" s="15"/>
      <c r="C874" s="15"/>
      <c r="D874" s="15"/>
      <c r="E874" s="15"/>
      <c r="F874" s="15"/>
      <c r="G874" s="15"/>
      <c r="H874" s="15"/>
      <c r="I874" s="15"/>
      <c r="J874" s="15"/>
      <c r="L874" s="15"/>
    </row>
    <row r="875" ht="15.75" customHeight="1">
      <c r="A875" s="15"/>
      <c r="B875" s="15"/>
      <c r="C875" s="15"/>
      <c r="D875" s="15"/>
      <c r="E875" s="15"/>
      <c r="F875" s="15"/>
      <c r="G875" s="15"/>
      <c r="H875" s="15"/>
      <c r="I875" s="15"/>
      <c r="J875" s="15"/>
      <c r="L875" s="15"/>
    </row>
    <row r="876" ht="15.75" customHeight="1">
      <c r="A876" s="15"/>
      <c r="B876" s="15"/>
      <c r="C876" s="15"/>
      <c r="D876" s="15"/>
      <c r="E876" s="15"/>
      <c r="F876" s="15"/>
      <c r="G876" s="15"/>
      <c r="H876" s="15"/>
      <c r="I876" s="15"/>
      <c r="J876" s="15"/>
      <c r="L876" s="15"/>
    </row>
    <row r="877" ht="15.75" customHeight="1">
      <c r="A877" s="15"/>
      <c r="B877" s="15"/>
      <c r="C877" s="15"/>
      <c r="D877" s="15"/>
      <c r="E877" s="15"/>
      <c r="F877" s="15"/>
      <c r="G877" s="15"/>
      <c r="H877" s="15"/>
      <c r="I877" s="15"/>
      <c r="J877" s="15"/>
      <c r="L877" s="15"/>
    </row>
    <row r="878" ht="15.75" customHeight="1">
      <c r="A878" s="15"/>
      <c r="B878" s="15"/>
      <c r="C878" s="15"/>
      <c r="D878" s="15"/>
      <c r="E878" s="15"/>
      <c r="F878" s="15"/>
      <c r="G878" s="15"/>
      <c r="H878" s="15"/>
      <c r="I878" s="15"/>
      <c r="J878" s="15"/>
      <c r="L878" s="15"/>
    </row>
    <row r="879" ht="15.75" customHeight="1">
      <c r="A879" s="15"/>
      <c r="B879" s="15"/>
      <c r="C879" s="15"/>
      <c r="D879" s="15"/>
      <c r="E879" s="15"/>
      <c r="F879" s="15"/>
      <c r="G879" s="15"/>
      <c r="H879" s="15"/>
      <c r="I879" s="15"/>
      <c r="J879" s="15"/>
      <c r="L879" s="15"/>
    </row>
    <row r="880" ht="15.75" customHeight="1">
      <c r="A880" s="15"/>
      <c r="B880" s="15"/>
      <c r="C880" s="15"/>
      <c r="D880" s="15"/>
      <c r="E880" s="15"/>
      <c r="F880" s="15"/>
      <c r="G880" s="15"/>
      <c r="H880" s="15"/>
      <c r="I880" s="15"/>
      <c r="J880" s="15"/>
      <c r="L880" s="15"/>
    </row>
    <row r="881" ht="15.75" customHeight="1">
      <c r="A881" s="15"/>
      <c r="B881" s="15"/>
      <c r="C881" s="15"/>
      <c r="D881" s="15"/>
      <c r="E881" s="15"/>
      <c r="F881" s="15"/>
      <c r="G881" s="15"/>
      <c r="H881" s="15"/>
      <c r="I881" s="15"/>
      <c r="J881" s="15"/>
      <c r="L881" s="15"/>
    </row>
    <row r="882" ht="15.75" customHeight="1">
      <c r="A882" s="15"/>
      <c r="B882" s="15"/>
      <c r="C882" s="15"/>
      <c r="D882" s="15"/>
      <c r="E882" s="15"/>
      <c r="F882" s="15"/>
      <c r="G882" s="15"/>
      <c r="H882" s="15"/>
      <c r="I882" s="15"/>
      <c r="J882" s="15"/>
      <c r="L882" s="15"/>
    </row>
    <row r="883" ht="15.75" customHeight="1">
      <c r="A883" s="15"/>
      <c r="B883" s="15"/>
      <c r="C883" s="15"/>
      <c r="D883" s="15"/>
      <c r="E883" s="15"/>
      <c r="F883" s="15"/>
      <c r="G883" s="15"/>
      <c r="H883" s="15"/>
      <c r="I883" s="15"/>
      <c r="J883" s="15"/>
      <c r="L883" s="15"/>
    </row>
    <row r="884" ht="15.75" customHeight="1">
      <c r="A884" s="15"/>
      <c r="B884" s="15"/>
      <c r="C884" s="15"/>
      <c r="D884" s="15"/>
      <c r="E884" s="15"/>
      <c r="F884" s="15"/>
      <c r="G884" s="15"/>
      <c r="H884" s="15"/>
      <c r="I884" s="15"/>
      <c r="J884" s="15"/>
      <c r="L884" s="15"/>
    </row>
    <row r="885" ht="15.75" customHeight="1">
      <c r="A885" s="15"/>
      <c r="B885" s="15"/>
      <c r="C885" s="15"/>
      <c r="D885" s="15"/>
      <c r="E885" s="15"/>
      <c r="F885" s="15"/>
      <c r="G885" s="15"/>
      <c r="H885" s="15"/>
      <c r="I885" s="15"/>
      <c r="J885" s="15"/>
      <c r="L885" s="15"/>
    </row>
    <row r="886" ht="15.75" customHeight="1">
      <c r="A886" s="15"/>
      <c r="B886" s="15"/>
      <c r="C886" s="15"/>
      <c r="D886" s="15"/>
      <c r="E886" s="15"/>
      <c r="F886" s="15"/>
      <c r="G886" s="15"/>
      <c r="H886" s="15"/>
      <c r="I886" s="15"/>
      <c r="J886" s="15"/>
      <c r="L886" s="15"/>
    </row>
    <row r="887" ht="15.75" customHeight="1">
      <c r="A887" s="15"/>
      <c r="B887" s="15"/>
      <c r="C887" s="15"/>
      <c r="D887" s="15"/>
      <c r="E887" s="15"/>
      <c r="F887" s="15"/>
      <c r="G887" s="15"/>
      <c r="H887" s="15"/>
      <c r="I887" s="15"/>
      <c r="J887" s="15"/>
      <c r="L887" s="15"/>
    </row>
    <row r="888" ht="15.75" customHeight="1">
      <c r="A888" s="15"/>
      <c r="B888" s="15"/>
      <c r="C888" s="15"/>
      <c r="D888" s="15"/>
      <c r="E888" s="15"/>
      <c r="F888" s="15"/>
      <c r="G888" s="15"/>
      <c r="H888" s="15"/>
      <c r="I888" s="15"/>
      <c r="J888" s="15"/>
      <c r="L888" s="15"/>
    </row>
    <row r="889" ht="15.75" customHeight="1">
      <c r="A889" s="15"/>
      <c r="B889" s="15"/>
      <c r="C889" s="15"/>
      <c r="D889" s="15"/>
      <c r="E889" s="15"/>
      <c r="F889" s="15"/>
      <c r="G889" s="15"/>
      <c r="H889" s="15"/>
      <c r="I889" s="15"/>
      <c r="J889" s="15"/>
      <c r="L889" s="15"/>
    </row>
    <row r="890" ht="15.75" customHeight="1">
      <c r="A890" s="15"/>
      <c r="B890" s="15"/>
      <c r="C890" s="15"/>
      <c r="D890" s="15"/>
      <c r="E890" s="15"/>
      <c r="F890" s="15"/>
      <c r="G890" s="15"/>
      <c r="H890" s="15"/>
      <c r="I890" s="15"/>
      <c r="J890" s="15"/>
      <c r="L890" s="15"/>
    </row>
    <row r="891" ht="15.75" customHeight="1">
      <c r="A891" s="15"/>
      <c r="B891" s="15"/>
      <c r="C891" s="15"/>
      <c r="D891" s="15"/>
      <c r="E891" s="15"/>
      <c r="F891" s="15"/>
      <c r="G891" s="15"/>
      <c r="H891" s="15"/>
      <c r="I891" s="15"/>
      <c r="J891" s="15"/>
      <c r="L891" s="15"/>
    </row>
    <row r="892" ht="15.75" customHeight="1">
      <c r="A892" s="15"/>
      <c r="B892" s="15"/>
      <c r="C892" s="15"/>
      <c r="D892" s="15"/>
      <c r="E892" s="15"/>
      <c r="F892" s="15"/>
      <c r="G892" s="15"/>
      <c r="H892" s="15"/>
      <c r="I892" s="15"/>
      <c r="J892" s="15"/>
      <c r="L892" s="15"/>
    </row>
    <row r="893" ht="15.75" customHeight="1">
      <c r="A893" s="15"/>
      <c r="B893" s="15"/>
      <c r="C893" s="15"/>
      <c r="D893" s="15"/>
      <c r="E893" s="15"/>
      <c r="F893" s="15"/>
      <c r="G893" s="15"/>
      <c r="H893" s="15"/>
      <c r="I893" s="15"/>
      <c r="J893" s="15"/>
      <c r="L893" s="15"/>
    </row>
    <row r="894" ht="15.75" customHeight="1">
      <c r="A894" s="15"/>
      <c r="B894" s="15"/>
      <c r="C894" s="15"/>
      <c r="D894" s="15"/>
      <c r="E894" s="15"/>
      <c r="F894" s="15"/>
      <c r="G894" s="15"/>
      <c r="H894" s="15"/>
      <c r="I894" s="15"/>
      <c r="J894" s="15"/>
      <c r="L894" s="15"/>
    </row>
    <row r="895" ht="15.75" customHeight="1">
      <c r="A895" s="15"/>
      <c r="B895" s="15"/>
      <c r="C895" s="15"/>
      <c r="D895" s="15"/>
      <c r="E895" s="15"/>
      <c r="F895" s="15"/>
      <c r="G895" s="15"/>
      <c r="H895" s="15"/>
      <c r="I895" s="15"/>
      <c r="J895" s="15"/>
      <c r="L895" s="15"/>
    </row>
    <row r="896" ht="15.75" customHeight="1">
      <c r="A896" s="15"/>
      <c r="B896" s="15"/>
      <c r="C896" s="15"/>
      <c r="D896" s="15"/>
      <c r="E896" s="15"/>
      <c r="F896" s="15"/>
      <c r="G896" s="15"/>
      <c r="H896" s="15"/>
      <c r="I896" s="15"/>
      <c r="J896" s="15"/>
      <c r="L896" s="15"/>
    </row>
    <row r="897" ht="15.75" customHeight="1">
      <c r="A897" s="15"/>
      <c r="B897" s="15"/>
      <c r="C897" s="15"/>
      <c r="D897" s="15"/>
      <c r="E897" s="15"/>
      <c r="F897" s="15"/>
      <c r="G897" s="15"/>
      <c r="H897" s="15"/>
      <c r="I897" s="15"/>
      <c r="J897" s="15"/>
      <c r="L897" s="15"/>
    </row>
    <row r="898" ht="15.75" customHeight="1">
      <c r="A898" s="15"/>
      <c r="B898" s="15"/>
      <c r="C898" s="15"/>
      <c r="D898" s="15"/>
      <c r="E898" s="15"/>
      <c r="F898" s="15"/>
      <c r="G898" s="15"/>
      <c r="H898" s="15"/>
      <c r="I898" s="15"/>
      <c r="J898" s="15"/>
      <c r="L898" s="15"/>
    </row>
    <row r="899" ht="15.75" customHeight="1">
      <c r="A899" s="15"/>
      <c r="B899" s="15"/>
      <c r="C899" s="15"/>
      <c r="D899" s="15"/>
      <c r="E899" s="15"/>
      <c r="F899" s="15"/>
      <c r="G899" s="15"/>
      <c r="H899" s="15"/>
      <c r="I899" s="15"/>
      <c r="J899" s="15"/>
      <c r="L899" s="15"/>
    </row>
    <row r="900" ht="15.75" customHeight="1">
      <c r="A900" s="15"/>
      <c r="B900" s="15"/>
      <c r="C900" s="15"/>
      <c r="D900" s="15"/>
      <c r="E900" s="15"/>
      <c r="F900" s="15"/>
      <c r="G900" s="15"/>
      <c r="H900" s="15"/>
      <c r="I900" s="15"/>
      <c r="J900" s="15"/>
      <c r="L900" s="15"/>
    </row>
    <row r="901" ht="15.75" customHeight="1">
      <c r="A901" s="15"/>
      <c r="B901" s="15"/>
      <c r="C901" s="15"/>
      <c r="D901" s="15"/>
      <c r="E901" s="15"/>
      <c r="F901" s="15"/>
      <c r="G901" s="15"/>
      <c r="H901" s="15"/>
      <c r="I901" s="15"/>
      <c r="J901" s="15"/>
      <c r="L901" s="15"/>
    </row>
    <row r="902" ht="15.75" customHeight="1">
      <c r="A902" s="15"/>
      <c r="B902" s="15"/>
      <c r="C902" s="15"/>
      <c r="D902" s="15"/>
      <c r="E902" s="15"/>
      <c r="F902" s="15"/>
      <c r="G902" s="15"/>
      <c r="H902" s="15"/>
      <c r="I902" s="15"/>
      <c r="J902" s="15"/>
      <c r="L902" s="15"/>
    </row>
    <row r="903" ht="15.75" customHeight="1">
      <c r="A903" s="15"/>
      <c r="B903" s="15"/>
      <c r="C903" s="15"/>
      <c r="D903" s="15"/>
      <c r="E903" s="15"/>
      <c r="F903" s="15"/>
      <c r="G903" s="15"/>
      <c r="H903" s="15"/>
      <c r="I903" s="15"/>
      <c r="J903" s="15"/>
      <c r="L903" s="15"/>
    </row>
    <row r="904" ht="15.75" customHeight="1">
      <c r="A904" s="15"/>
      <c r="B904" s="15"/>
      <c r="C904" s="15"/>
      <c r="D904" s="15"/>
      <c r="E904" s="15"/>
      <c r="F904" s="15"/>
      <c r="G904" s="15"/>
      <c r="H904" s="15"/>
      <c r="I904" s="15"/>
      <c r="J904" s="15"/>
      <c r="L904" s="15"/>
    </row>
    <row r="905" ht="15.75" customHeight="1">
      <c r="A905" s="15"/>
      <c r="B905" s="15"/>
      <c r="C905" s="15"/>
      <c r="D905" s="15"/>
      <c r="E905" s="15"/>
      <c r="F905" s="15"/>
      <c r="G905" s="15"/>
      <c r="H905" s="15"/>
      <c r="I905" s="15"/>
      <c r="J905" s="15"/>
      <c r="L905" s="15"/>
    </row>
    <row r="906" ht="15.75" customHeight="1">
      <c r="A906" s="15"/>
      <c r="B906" s="15"/>
      <c r="C906" s="15"/>
      <c r="D906" s="15"/>
      <c r="E906" s="15"/>
      <c r="F906" s="15"/>
      <c r="G906" s="15"/>
      <c r="H906" s="15"/>
      <c r="I906" s="15"/>
      <c r="J906" s="15"/>
      <c r="L906" s="15"/>
    </row>
    <row r="907" ht="15.75" customHeight="1">
      <c r="A907" s="15"/>
      <c r="B907" s="15"/>
      <c r="C907" s="15"/>
      <c r="D907" s="15"/>
      <c r="E907" s="15"/>
      <c r="F907" s="15"/>
      <c r="G907" s="15"/>
      <c r="H907" s="15"/>
      <c r="I907" s="15"/>
      <c r="J907" s="15"/>
      <c r="L907" s="15"/>
    </row>
    <row r="908" ht="15.75" customHeight="1">
      <c r="A908" s="15"/>
      <c r="B908" s="15"/>
      <c r="C908" s="15"/>
      <c r="D908" s="15"/>
      <c r="E908" s="15"/>
      <c r="F908" s="15"/>
      <c r="G908" s="15"/>
      <c r="H908" s="15"/>
      <c r="I908" s="15"/>
      <c r="J908" s="15"/>
      <c r="L908" s="15"/>
    </row>
    <row r="909" ht="15.75" customHeight="1">
      <c r="A909" s="15"/>
      <c r="B909" s="15"/>
      <c r="C909" s="15"/>
      <c r="D909" s="15"/>
      <c r="E909" s="15"/>
      <c r="F909" s="15"/>
      <c r="G909" s="15"/>
      <c r="H909" s="15"/>
      <c r="I909" s="15"/>
      <c r="J909" s="15"/>
      <c r="L909" s="15"/>
    </row>
    <row r="910" ht="15.75" customHeight="1">
      <c r="A910" s="15"/>
      <c r="B910" s="15"/>
      <c r="C910" s="15"/>
      <c r="D910" s="15"/>
      <c r="E910" s="15"/>
      <c r="F910" s="15"/>
      <c r="G910" s="15"/>
      <c r="H910" s="15"/>
      <c r="I910" s="15"/>
      <c r="J910" s="15"/>
      <c r="L910" s="15"/>
    </row>
    <row r="911" ht="15.75" customHeight="1">
      <c r="A911" s="15"/>
      <c r="B911" s="15"/>
      <c r="C911" s="15"/>
      <c r="D911" s="15"/>
      <c r="E911" s="15"/>
      <c r="F911" s="15"/>
      <c r="G911" s="15"/>
      <c r="H911" s="15"/>
      <c r="I911" s="15"/>
      <c r="J911" s="15"/>
      <c r="L911" s="15"/>
    </row>
    <row r="912" ht="15.75" customHeight="1">
      <c r="A912" s="15"/>
      <c r="B912" s="15"/>
      <c r="C912" s="15"/>
      <c r="D912" s="15"/>
      <c r="E912" s="15"/>
      <c r="F912" s="15"/>
      <c r="G912" s="15"/>
      <c r="H912" s="15"/>
      <c r="I912" s="15"/>
      <c r="J912" s="15"/>
      <c r="L912" s="15"/>
    </row>
    <row r="913" ht="15.75" customHeight="1">
      <c r="A913" s="15"/>
      <c r="B913" s="15"/>
      <c r="C913" s="15"/>
      <c r="D913" s="15"/>
      <c r="E913" s="15"/>
      <c r="F913" s="15"/>
      <c r="G913" s="15"/>
      <c r="H913" s="15"/>
      <c r="I913" s="15"/>
      <c r="J913" s="15"/>
      <c r="L913" s="15"/>
    </row>
    <row r="914" ht="15.75" customHeight="1">
      <c r="A914" s="15"/>
      <c r="B914" s="15"/>
      <c r="C914" s="15"/>
      <c r="D914" s="15"/>
      <c r="E914" s="15"/>
      <c r="F914" s="15"/>
      <c r="G914" s="15"/>
      <c r="H914" s="15"/>
      <c r="I914" s="15"/>
      <c r="J914" s="15"/>
      <c r="L914" s="15"/>
    </row>
    <row r="915" ht="15.75" customHeight="1">
      <c r="A915" s="15"/>
      <c r="B915" s="15"/>
      <c r="C915" s="15"/>
      <c r="D915" s="15"/>
      <c r="E915" s="15"/>
      <c r="F915" s="15"/>
      <c r="G915" s="15"/>
      <c r="H915" s="15"/>
      <c r="I915" s="15"/>
      <c r="J915" s="15"/>
      <c r="L915" s="15"/>
    </row>
    <row r="916" ht="15.75" customHeight="1">
      <c r="A916" s="15"/>
      <c r="B916" s="15"/>
      <c r="C916" s="15"/>
      <c r="D916" s="15"/>
      <c r="E916" s="15"/>
      <c r="F916" s="15"/>
      <c r="G916" s="15"/>
      <c r="H916" s="15"/>
      <c r="I916" s="15"/>
      <c r="J916" s="15"/>
      <c r="L916" s="15"/>
    </row>
    <row r="917" ht="15.75" customHeight="1">
      <c r="A917" s="15"/>
      <c r="B917" s="15"/>
      <c r="C917" s="15"/>
      <c r="D917" s="15"/>
      <c r="E917" s="15"/>
      <c r="F917" s="15"/>
      <c r="G917" s="15"/>
      <c r="H917" s="15"/>
      <c r="I917" s="15"/>
      <c r="J917" s="15"/>
      <c r="L917" s="15"/>
    </row>
    <row r="918" ht="15.75" customHeight="1">
      <c r="A918" s="15"/>
      <c r="B918" s="15"/>
      <c r="C918" s="15"/>
      <c r="D918" s="15"/>
      <c r="E918" s="15"/>
      <c r="F918" s="15"/>
      <c r="G918" s="15"/>
      <c r="H918" s="15"/>
      <c r="I918" s="15"/>
      <c r="J918" s="15"/>
      <c r="L918" s="15"/>
    </row>
    <row r="919" ht="15.75" customHeight="1">
      <c r="A919" s="15"/>
      <c r="B919" s="15"/>
      <c r="C919" s="15"/>
      <c r="D919" s="15"/>
      <c r="E919" s="15"/>
      <c r="F919" s="15"/>
      <c r="G919" s="15"/>
      <c r="H919" s="15"/>
      <c r="I919" s="15"/>
      <c r="J919" s="15"/>
      <c r="L919" s="15"/>
    </row>
    <row r="920" ht="15.75" customHeight="1">
      <c r="A920" s="15"/>
      <c r="B920" s="15"/>
      <c r="C920" s="15"/>
      <c r="D920" s="15"/>
      <c r="E920" s="15"/>
      <c r="F920" s="15"/>
      <c r="G920" s="15"/>
      <c r="H920" s="15"/>
      <c r="I920" s="15"/>
      <c r="J920" s="15"/>
      <c r="L920" s="15"/>
    </row>
    <row r="921" ht="15.75" customHeight="1">
      <c r="A921" s="15"/>
      <c r="B921" s="15"/>
      <c r="C921" s="15"/>
      <c r="D921" s="15"/>
      <c r="E921" s="15"/>
      <c r="F921" s="15"/>
      <c r="G921" s="15"/>
      <c r="H921" s="15"/>
      <c r="I921" s="15"/>
      <c r="J921" s="15"/>
      <c r="L921" s="15"/>
    </row>
    <row r="922" ht="15.75" customHeight="1">
      <c r="A922" s="15"/>
      <c r="B922" s="15"/>
      <c r="C922" s="15"/>
      <c r="D922" s="15"/>
      <c r="E922" s="15"/>
      <c r="F922" s="15"/>
      <c r="G922" s="15"/>
      <c r="H922" s="15"/>
      <c r="I922" s="15"/>
      <c r="J922" s="15"/>
      <c r="L922" s="15"/>
    </row>
    <row r="923" ht="15.75" customHeight="1">
      <c r="A923" s="15"/>
      <c r="B923" s="15"/>
      <c r="C923" s="15"/>
      <c r="D923" s="15"/>
      <c r="E923" s="15"/>
      <c r="F923" s="15"/>
      <c r="G923" s="15"/>
      <c r="H923" s="15"/>
      <c r="I923" s="15"/>
      <c r="J923" s="15"/>
      <c r="L923" s="15"/>
    </row>
    <row r="924" ht="15.75" customHeight="1">
      <c r="A924" s="15"/>
      <c r="B924" s="15"/>
      <c r="C924" s="15"/>
      <c r="D924" s="15"/>
      <c r="E924" s="15"/>
      <c r="F924" s="15"/>
      <c r="G924" s="15"/>
      <c r="H924" s="15"/>
      <c r="I924" s="15"/>
      <c r="J924" s="15"/>
      <c r="L924" s="15"/>
    </row>
    <row r="925" ht="15.75" customHeight="1">
      <c r="A925" s="15"/>
      <c r="B925" s="15"/>
      <c r="C925" s="15"/>
      <c r="D925" s="15"/>
      <c r="E925" s="15"/>
      <c r="F925" s="15"/>
      <c r="G925" s="15"/>
      <c r="H925" s="15"/>
      <c r="I925" s="15"/>
      <c r="J925" s="15"/>
      <c r="L925" s="15"/>
    </row>
    <row r="926" ht="15.75" customHeight="1">
      <c r="A926" s="15"/>
      <c r="B926" s="15"/>
      <c r="C926" s="15"/>
      <c r="D926" s="15"/>
      <c r="E926" s="15"/>
      <c r="F926" s="15"/>
      <c r="G926" s="15"/>
      <c r="H926" s="15"/>
      <c r="I926" s="15"/>
      <c r="J926" s="15"/>
      <c r="L926" s="15"/>
    </row>
    <row r="927" ht="15.75" customHeight="1">
      <c r="A927" s="15"/>
      <c r="B927" s="15"/>
      <c r="C927" s="15"/>
      <c r="D927" s="15"/>
      <c r="E927" s="15"/>
      <c r="F927" s="15"/>
      <c r="G927" s="15"/>
      <c r="H927" s="15"/>
      <c r="I927" s="15"/>
      <c r="J927" s="15"/>
      <c r="L927" s="15"/>
    </row>
    <row r="928" ht="15.75" customHeight="1">
      <c r="A928" s="15"/>
      <c r="B928" s="15"/>
      <c r="C928" s="15"/>
      <c r="D928" s="15"/>
      <c r="E928" s="15"/>
      <c r="F928" s="15"/>
      <c r="G928" s="15"/>
      <c r="H928" s="15"/>
      <c r="I928" s="15"/>
      <c r="J928" s="15"/>
      <c r="L928" s="15"/>
    </row>
    <row r="929" ht="15.75" customHeight="1">
      <c r="A929" s="15"/>
      <c r="B929" s="15"/>
      <c r="C929" s="15"/>
      <c r="D929" s="15"/>
      <c r="E929" s="15"/>
      <c r="F929" s="15"/>
      <c r="G929" s="15"/>
      <c r="H929" s="15"/>
      <c r="I929" s="15"/>
      <c r="J929" s="15"/>
      <c r="L929" s="15"/>
    </row>
    <row r="930" ht="15.75" customHeight="1">
      <c r="A930" s="15"/>
      <c r="B930" s="15"/>
      <c r="C930" s="15"/>
      <c r="D930" s="15"/>
      <c r="E930" s="15"/>
      <c r="F930" s="15"/>
      <c r="G930" s="15"/>
      <c r="H930" s="15"/>
      <c r="I930" s="15"/>
      <c r="J930" s="15"/>
      <c r="L930" s="15"/>
    </row>
    <row r="931" ht="15.75" customHeight="1">
      <c r="A931" s="15"/>
      <c r="B931" s="15"/>
      <c r="C931" s="15"/>
      <c r="D931" s="15"/>
      <c r="E931" s="15"/>
      <c r="F931" s="15"/>
      <c r="G931" s="15"/>
      <c r="H931" s="15"/>
      <c r="I931" s="15"/>
      <c r="J931" s="15"/>
      <c r="L931" s="15"/>
    </row>
    <row r="932" ht="15.75" customHeight="1">
      <c r="A932" s="15"/>
      <c r="B932" s="15"/>
      <c r="C932" s="15"/>
      <c r="D932" s="15"/>
      <c r="E932" s="15"/>
      <c r="F932" s="15"/>
      <c r="G932" s="15"/>
      <c r="H932" s="15"/>
      <c r="I932" s="15"/>
      <c r="J932" s="15"/>
      <c r="L932" s="15"/>
    </row>
    <row r="933" ht="15.75" customHeight="1">
      <c r="A933" s="15"/>
      <c r="B933" s="15"/>
      <c r="C933" s="15"/>
      <c r="D933" s="15"/>
      <c r="E933" s="15"/>
      <c r="F933" s="15"/>
      <c r="G933" s="15"/>
      <c r="H933" s="15"/>
      <c r="I933" s="15"/>
      <c r="J933" s="15"/>
      <c r="L933" s="15"/>
    </row>
    <row r="934" ht="15.75" customHeight="1">
      <c r="A934" s="15"/>
      <c r="B934" s="15"/>
      <c r="C934" s="15"/>
      <c r="D934" s="15"/>
      <c r="E934" s="15"/>
      <c r="F934" s="15"/>
      <c r="G934" s="15"/>
      <c r="H934" s="15"/>
      <c r="I934" s="15"/>
      <c r="J934" s="15"/>
      <c r="L934" s="15"/>
    </row>
    <row r="935" ht="15.75" customHeight="1">
      <c r="A935" s="15"/>
      <c r="B935" s="15"/>
      <c r="C935" s="15"/>
      <c r="D935" s="15"/>
      <c r="E935" s="15"/>
      <c r="F935" s="15"/>
      <c r="G935" s="15"/>
      <c r="H935" s="15"/>
      <c r="I935" s="15"/>
      <c r="J935" s="15"/>
      <c r="L935" s="15"/>
    </row>
    <row r="936" ht="15.75" customHeight="1">
      <c r="A936" s="15"/>
      <c r="B936" s="15"/>
      <c r="C936" s="15"/>
      <c r="D936" s="15"/>
      <c r="E936" s="15"/>
      <c r="F936" s="15"/>
      <c r="G936" s="15"/>
      <c r="H936" s="15"/>
      <c r="I936" s="15"/>
      <c r="J936" s="15"/>
      <c r="L936" s="15"/>
    </row>
    <row r="937" ht="15.75" customHeight="1">
      <c r="A937" s="15"/>
      <c r="B937" s="15"/>
      <c r="C937" s="15"/>
      <c r="D937" s="15"/>
      <c r="E937" s="15"/>
      <c r="F937" s="15"/>
      <c r="G937" s="15"/>
      <c r="H937" s="15"/>
      <c r="I937" s="15"/>
      <c r="J937" s="15"/>
      <c r="L937" s="15"/>
    </row>
    <row r="938" ht="15.75" customHeight="1">
      <c r="A938" s="15"/>
      <c r="B938" s="15"/>
      <c r="C938" s="15"/>
      <c r="D938" s="15"/>
      <c r="E938" s="15"/>
      <c r="F938" s="15"/>
      <c r="G938" s="15"/>
      <c r="H938" s="15"/>
      <c r="I938" s="15"/>
      <c r="J938" s="15"/>
      <c r="L938" s="15"/>
    </row>
    <row r="939" ht="15.75" customHeight="1">
      <c r="A939" s="15"/>
      <c r="B939" s="15"/>
      <c r="C939" s="15"/>
      <c r="D939" s="15"/>
      <c r="E939" s="15"/>
      <c r="F939" s="15"/>
      <c r="G939" s="15"/>
      <c r="H939" s="15"/>
      <c r="I939" s="15"/>
      <c r="J939" s="15"/>
      <c r="L939" s="15"/>
    </row>
    <row r="940" ht="15.75" customHeight="1">
      <c r="A940" s="15"/>
      <c r="B940" s="15"/>
      <c r="C940" s="15"/>
      <c r="D940" s="15"/>
      <c r="E940" s="15"/>
      <c r="F940" s="15"/>
      <c r="G940" s="15"/>
      <c r="H940" s="15"/>
      <c r="I940" s="15"/>
      <c r="J940" s="15"/>
      <c r="L940" s="15"/>
    </row>
    <row r="941" ht="15.75" customHeight="1">
      <c r="A941" s="15"/>
      <c r="B941" s="15"/>
      <c r="C941" s="15"/>
      <c r="D941" s="15"/>
      <c r="E941" s="15"/>
      <c r="F941" s="15"/>
      <c r="G941" s="15"/>
      <c r="H941" s="15"/>
      <c r="I941" s="15"/>
      <c r="J941" s="15"/>
      <c r="L941" s="15"/>
    </row>
    <row r="942" ht="15.75" customHeight="1">
      <c r="A942" s="15"/>
      <c r="B942" s="15"/>
      <c r="C942" s="15"/>
      <c r="D942" s="15"/>
      <c r="E942" s="15"/>
      <c r="F942" s="15"/>
      <c r="G942" s="15"/>
      <c r="H942" s="15"/>
      <c r="I942" s="15"/>
      <c r="J942" s="15"/>
      <c r="L942" s="15"/>
    </row>
    <row r="943" ht="15.75" customHeight="1">
      <c r="A943" s="15"/>
      <c r="B943" s="15"/>
      <c r="C943" s="15"/>
      <c r="D943" s="15"/>
      <c r="E943" s="15"/>
      <c r="F943" s="15"/>
      <c r="G943" s="15"/>
      <c r="H943" s="15"/>
      <c r="I943" s="15"/>
      <c r="J943" s="15"/>
      <c r="L943" s="15"/>
    </row>
    <row r="944" ht="15.75" customHeight="1">
      <c r="A944" s="15"/>
      <c r="B944" s="15"/>
      <c r="C944" s="15"/>
      <c r="D944" s="15"/>
      <c r="E944" s="15"/>
      <c r="F944" s="15"/>
      <c r="G944" s="15"/>
      <c r="H944" s="15"/>
      <c r="I944" s="15"/>
      <c r="J944" s="15"/>
      <c r="L944" s="15"/>
    </row>
    <row r="945" ht="15.75" customHeight="1">
      <c r="A945" s="15"/>
      <c r="B945" s="15"/>
      <c r="C945" s="15"/>
      <c r="D945" s="15"/>
      <c r="E945" s="15"/>
      <c r="F945" s="15"/>
      <c r="G945" s="15"/>
      <c r="H945" s="15"/>
      <c r="I945" s="15"/>
      <c r="J945" s="15"/>
      <c r="L945" s="15"/>
    </row>
    <row r="946" ht="15.75" customHeight="1">
      <c r="A946" s="15"/>
      <c r="B946" s="15"/>
      <c r="C946" s="15"/>
      <c r="D946" s="15"/>
      <c r="E946" s="15"/>
      <c r="F946" s="15"/>
      <c r="G946" s="15"/>
      <c r="H946" s="15"/>
      <c r="I946" s="15"/>
      <c r="J946" s="15"/>
      <c r="L946" s="15"/>
    </row>
    <row r="947" ht="15.75" customHeight="1">
      <c r="A947" s="15"/>
      <c r="B947" s="15"/>
      <c r="C947" s="15"/>
      <c r="D947" s="15"/>
      <c r="E947" s="15"/>
      <c r="F947" s="15"/>
      <c r="G947" s="15"/>
      <c r="H947" s="15"/>
      <c r="I947" s="15"/>
      <c r="J947" s="15"/>
      <c r="L947" s="15"/>
    </row>
    <row r="948" ht="15.75" customHeight="1">
      <c r="A948" s="15"/>
      <c r="B948" s="15"/>
      <c r="C948" s="15"/>
      <c r="D948" s="15"/>
      <c r="E948" s="15"/>
      <c r="F948" s="15"/>
      <c r="G948" s="15"/>
      <c r="H948" s="15"/>
      <c r="I948" s="15"/>
      <c r="J948" s="15"/>
      <c r="L948" s="15"/>
    </row>
    <row r="949" ht="15.75" customHeight="1">
      <c r="A949" s="15"/>
      <c r="B949" s="15"/>
      <c r="C949" s="15"/>
      <c r="D949" s="15"/>
      <c r="E949" s="15"/>
      <c r="F949" s="15"/>
      <c r="G949" s="15"/>
      <c r="H949" s="15"/>
      <c r="I949" s="15"/>
      <c r="J949" s="15"/>
      <c r="L949" s="15"/>
    </row>
    <row r="950" ht="15.75" customHeight="1">
      <c r="A950" s="15"/>
      <c r="B950" s="15"/>
      <c r="C950" s="15"/>
      <c r="D950" s="15"/>
      <c r="E950" s="15"/>
      <c r="F950" s="15"/>
      <c r="G950" s="15"/>
      <c r="H950" s="15"/>
      <c r="I950" s="15"/>
      <c r="J950" s="15"/>
      <c r="L950" s="15"/>
    </row>
    <row r="951" ht="15.75" customHeight="1">
      <c r="A951" s="15"/>
      <c r="B951" s="15"/>
      <c r="C951" s="15"/>
      <c r="D951" s="15"/>
      <c r="E951" s="15"/>
      <c r="F951" s="15"/>
      <c r="G951" s="15"/>
      <c r="H951" s="15"/>
      <c r="I951" s="15"/>
      <c r="J951" s="15"/>
      <c r="L951" s="15"/>
    </row>
    <row r="952" ht="15.75" customHeight="1">
      <c r="A952" s="15"/>
      <c r="B952" s="15"/>
      <c r="C952" s="15"/>
      <c r="D952" s="15"/>
      <c r="E952" s="15"/>
      <c r="F952" s="15"/>
      <c r="G952" s="15"/>
      <c r="H952" s="15"/>
      <c r="I952" s="15"/>
      <c r="J952" s="15"/>
      <c r="L952" s="15"/>
    </row>
    <row r="953" ht="15.75" customHeight="1">
      <c r="A953" s="15"/>
      <c r="B953" s="15"/>
      <c r="C953" s="15"/>
      <c r="D953" s="15"/>
      <c r="E953" s="15"/>
      <c r="F953" s="15"/>
      <c r="G953" s="15"/>
      <c r="H953" s="15"/>
      <c r="I953" s="15"/>
      <c r="J953" s="15"/>
      <c r="L953" s="15"/>
    </row>
    <row r="954" ht="15.75" customHeight="1">
      <c r="A954" s="15"/>
      <c r="B954" s="15"/>
      <c r="C954" s="15"/>
      <c r="D954" s="15"/>
      <c r="E954" s="15"/>
      <c r="F954" s="15"/>
      <c r="G954" s="15"/>
      <c r="H954" s="15"/>
      <c r="I954" s="15"/>
      <c r="J954" s="15"/>
      <c r="L954" s="15"/>
    </row>
    <row r="955" ht="15.75" customHeight="1">
      <c r="A955" s="15"/>
      <c r="B955" s="15"/>
      <c r="C955" s="15"/>
      <c r="D955" s="15"/>
      <c r="E955" s="15"/>
      <c r="F955" s="15"/>
      <c r="G955" s="15"/>
      <c r="H955" s="15"/>
      <c r="I955" s="15"/>
      <c r="J955" s="15"/>
      <c r="L955" s="15"/>
    </row>
    <row r="956" ht="15.75" customHeight="1">
      <c r="A956" s="15"/>
      <c r="B956" s="15"/>
      <c r="C956" s="15"/>
      <c r="D956" s="15"/>
      <c r="E956" s="15"/>
      <c r="F956" s="15"/>
      <c r="G956" s="15"/>
      <c r="H956" s="15"/>
      <c r="I956" s="15"/>
      <c r="J956" s="15"/>
      <c r="L956" s="15"/>
    </row>
    <row r="957" ht="15.75" customHeight="1">
      <c r="A957" s="15"/>
      <c r="B957" s="15"/>
      <c r="C957" s="15"/>
      <c r="D957" s="15"/>
      <c r="E957" s="15"/>
      <c r="F957" s="15"/>
      <c r="G957" s="15"/>
      <c r="H957" s="15"/>
      <c r="I957" s="15"/>
      <c r="J957" s="15"/>
      <c r="L957" s="15"/>
    </row>
    <row r="958" ht="15.75" customHeight="1">
      <c r="A958" s="15"/>
      <c r="B958" s="15"/>
      <c r="C958" s="15"/>
      <c r="D958" s="15"/>
      <c r="E958" s="15"/>
      <c r="F958" s="15"/>
      <c r="G958" s="15"/>
      <c r="H958" s="15"/>
      <c r="I958" s="15"/>
      <c r="J958" s="15"/>
      <c r="L958" s="15"/>
    </row>
    <row r="959" ht="15.75" customHeight="1">
      <c r="A959" s="15"/>
      <c r="B959" s="15"/>
      <c r="C959" s="15"/>
      <c r="D959" s="15"/>
      <c r="E959" s="15"/>
      <c r="F959" s="15"/>
      <c r="G959" s="15"/>
      <c r="H959" s="15"/>
      <c r="I959" s="15"/>
      <c r="J959" s="15"/>
      <c r="L959" s="15"/>
    </row>
    <row r="960" ht="15.75" customHeight="1">
      <c r="A960" s="15"/>
      <c r="B960" s="15"/>
      <c r="C960" s="15"/>
      <c r="D960" s="15"/>
      <c r="E960" s="15"/>
      <c r="F960" s="15"/>
      <c r="G960" s="15"/>
      <c r="H960" s="15"/>
      <c r="I960" s="15"/>
      <c r="J960" s="15"/>
      <c r="L960" s="15"/>
    </row>
    <row r="961" ht="15.75" customHeight="1">
      <c r="A961" s="15"/>
      <c r="B961" s="15"/>
      <c r="C961" s="15"/>
      <c r="D961" s="15"/>
      <c r="E961" s="15"/>
      <c r="F961" s="15"/>
      <c r="G961" s="15"/>
      <c r="H961" s="15"/>
      <c r="I961" s="15"/>
      <c r="J961" s="15"/>
      <c r="L961" s="15"/>
    </row>
    <row r="962" ht="15.75" customHeight="1">
      <c r="A962" s="15"/>
      <c r="B962" s="15"/>
      <c r="C962" s="15"/>
      <c r="D962" s="15"/>
      <c r="E962" s="15"/>
      <c r="F962" s="15"/>
      <c r="G962" s="15"/>
      <c r="H962" s="15"/>
      <c r="I962" s="15"/>
      <c r="J962" s="15"/>
      <c r="L962" s="15"/>
    </row>
    <row r="963" ht="15.75" customHeight="1">
      <c r="A963" s="15"/>
      <c r="B963" s="15"/>
      <c r="C963" s="15"/>
      <c r="D963" s="15"/>
      <c r="E963" s="15"/>
      <c r="F963" s="15"/>
      <c r="G963" s="15"/>
      <c r="H963" s="15"/>
      <c r="I963" s="15"/>
      <c r="J963" s="15"/>
      <c r="L963" s="15"/>
    </row>
    <row r="964" ht="15.75" customHeight="1">
      <c r="A964" s="15"/>
      <c r="B964" s="15"/>
      <c r="C964" s="15"/>
      <c r="D964" s="15"/>
      <c r="E964" s="15"/>
      <c r="F964" s="15"/>
      <c r="G964" s="15"/>
      <c r="H964" s="15"/>
      <c r="I964" s="15"/>
      <c r="J964" s="15"/>
      <c r="L964" s="15"/>
    </row>
    <row r="965" ht="15.75" customHeight="1">
      <c r="A965" s="15"/>
      <c r="B965" s="15"/>
      <c r="C965" s="15"/>
      <c r="D965" s="15"/>
      <c r="E965" s="15"/>
      <c r="F965" s="15"/>
      <c r="G965" s="15"/>
      <c r="H965" s="15"/>
      <c r="I965" s="15"/>
      <c r="J965" s="15"/>
      <c r="L965" s="15"/>
    </row>
    <row r="966" ht="15.75" customHeight="1">
      <c r="A966" s="15"/>
      <c r="B966" s="15"/>
      <c r="C966" s="15"/>
      <c r="D966" s="15"/>
      <c r="E966" s="15"/>
      <c r="F966" s="15"/>
      <c r="G966" s="15"/>
      <c r="H966" s="15"/>
      <c r="I966" s="15"/>
      <c r="J966" s="15"/>
      <c r="L966" s="15"/>
    </row>
    <row r="967" ht="15.75" customHeight="1">
      <c r="A967" s="15"/>
      <c r="B967" s="15"/>
      <c r="C967" s="15"/>
      <c r="D967" s="15"/>
      <c r="E967" s="15"/>
      <c r="F967" s="15"/>
      <c r="G967" s="15"/>
      <c r="H967" s="15"/>
      <c r="I967" s="15"/>
      <c r="J967" s="15"/>
      <c r="L967" s="15"/>
    </row>
    <row r="968" ht="15.75" customHeight="1">
      <c r="A968" s="15"/>
      <c r="B968" s="15"/>
      <c r="C968" s="15"/>
      <c r="D968" s="15"/>
      <c r="E968" s="15"/>
      <c r="F968" s="15"/>
      <c r="G968" s="15"/>
      <c r="H968" s="15"/>
      <c r="I968" s="15"/>
      <c r="J968" s="15"/>
      <c r="L968" s="15"/>
    </row>
    <row r="969" ht="15.75" customHeight="1">
      <c r="A969" s="15"/>
      <c r="B969" s="15"/>
      <c r="C969" s="15"/>
      <c r="D969" s="15"/>
      <c r="E969" s="15"/>
      <c r="F969" s="15"/>
      <c r="G969" s="15"/>
      <c r="H969" s="15"/>
      <c r="I969" s="15"/>
      <c r="J969" s="15"/>
      <c r="L969" s="15"/>
    </row>
    <row r="970" ht="15.75" customHeight="1">
      <c r="A970" s="15"/>
      <c r="B970" s="15"/>
      <c r="C970" s="15"/>
      <c r="D970" s="15"/>
      <c r="E970" s="15"/>
      <c r="F970" s="15"/>
      <c r="G970" s="15"/>
      <c r="H970" s="15"/>
      <c r="I970" s="15"/>
      <c r="J970" s="15"/>
      <c r="L970" s="15"/>
    </row>
    <row r="971" ht="15.75" customHeight="1">
      <c r="A971" s="15"/>
      <c r="B971" s="15"/>
      <c r="C971" s="15"/>
      <c r="D971" s="15"/>
      <c r="E971" s="15"/>
      <c r="F971" s="15"/>
      <c r="G971" s="15"/>
      <c r="H971" s="15"/>
      <c r="I971" s="15"/>
      <c r="J971" s="15"/>
      <c r="L971" s="15"/>
    </row>
    <row r="972" ht="15.75" customHeight="1">
      <c r="A972" s="15"/>
      <c r="B972" s="15"/>
      <c r="C972" s="15"/>
      <c r="D972" s="15"/>
      <c r="E972" s="15"/>
      <c r="F972" s="15"/>
      <c r="G972" s="15"/>
      <c r="H972" s="15"/>
      <c r="I972" s="15"/>
      <c r="J972" s="15"/>
      <c r="L972" s="15"/>
    </row>
    <row r="973" ht="15.75" customHeight="1">
      <c r="A973" s="15"/>
      <c r="B973" s="15"/>
      <c r="C973" s="15"/>
      <c r="D973" s="15"/>
      <c r="E973" s="15"/>
      <c r="F973" s="15"/>
      <c r="G973" s="15"/>
      <c r="H973" s="15"/>
      <c r="I973" s="15"/>
      <c r="J973" s="15"/>
      <c r="L973" s="15"/>
    </row>
    <row r="974" ht="15.75" customHeight="1">
      <c r="A974" s="15"/>
      <c r="B974" s="15"/>
      <c r="C974" s="15"/>
      <c r="D974" s="15"/>
      <c r="E974" s="15"/>
      <c r="F974" s="15"/>
      <c r="G974" s="15"/>
      <c r="H974" s="15"/>
      <c r="I974" s="15"/>
      <c r="J974" s="15"/>
      <c r="L974" s="15"/>
    </row>
    <row r="975" ht="15.75" customHeight="1">
      <c r="A975" s="15"/>
      <c r="B975" s="15"/>
      <c r="C975" s="15"/>
      <c r="D975" s="15"/>
      <c r="E975" s="15"/>
      <c r="F975" s="15"/>
      <c r="G975" s="15"/>
      <c r="H975" s="15"/>
      <c r="I975" s="15"/>
      <c r="J975" s="15"/>
      <c r="L975" s="15"/>
    </row>
    <row r="976" ht="15.75" customHeight="1">
      <c r="A976" s="15"/>
      <c r="B976" s="15"/>
      <c r="C976" s="15"/>
      <c r="D976" s="15"/>
      <c r="E976" s="15"/>
      <c r="F976" s="15"/>
      <c r="G976" s="15"/>
      <c r="H976" s="15"/>
      <c r="I976" s="15"/>
      <c r="J976" s="15"/>
      <c r="L976" s="15"/>
    </row>
    <row r="977" ht="15.75" customHeight="1">
      <c r="A977" s="15"/>
      <c r="B977" s="15"/>
      <c r="C977" s="15"/>
      <c r="D977" s="15"/>
      <c r="E977" s="15"/>
      <c r="F977" s="15"/>
      <c r="G977" s="15"/>
      <c r="H977" s="15"/>
      <c r="I977" s="15"/>
      <c r="J977" s="15"/>
      <c r="L977" s="15"/>
    </row>
    <row r="978" ht="15.75" customHeight="1">
      <c r="A978" s="15"/>
      <c r="B978" s="15"/>
      <c r="C978" s="15"/>
      <c r="D978" s="15"/>
      <c r="E978" s="15"/>
      <c r="F978" s="15"/>
      <c r="G978" s="15"/>
      <c r="H978" s="15"/>
      <c r="I978" s="15"/>
      <c r="J978" s="15"/>
      <c r="L978" s="15"/>
    </row>
    <row r="979" ht="15.75" customHeight="1">
      <c r="A979" s="15"/>
      <c r="B979" s="15"/>
      <c r="C979" s="15"/>
      <c r="D979" s="15"/>
      <c r="E979" s="15"/>
      <c r="F979" s="15"/>
      <c r="G979" s="15"/>
      <c r="H979" s="15"/>
      <c r="I979" s="15"/>
      <c r="J979" s="15"/>
      <c r="L979" s="15"/>
    </row>
    <row r="980" ht="15.75" customHeight="1">
      <c r="A980" s="15"/>
      <c r="B980" s="15"/>
      <c r="C980" s="15"/>
      <c r="D980" s="15"/>
      <c r="E980" s="15"/>
      <c r="F980" s="15"/>
      <c r="G980" s="15"/>
      <c r="H980" s="15"/>
      <c r="I980" s="15"/>
      <c r="J980" s="15"/>
      <c r="L980" s="15"/>
    </row>
    <row r="981" ht="15.75" customHeight="1">
      <c r="A981" s="15"/>
      <c r="B981" s="15"/>
      <c r="C981" s="15"/>
      <c r="D981" s="15"/>
      <c r="E981" s="15"/>
      <c r="F981" s="15"/>
      <c r="G981" s="15"/>
      <c r="H981" s="15"/>
      <c r="I981" s="15"/>
      <c r="J981" s="15"/>
      <c r="L981" s="15"/>
    </row>
    <row r="982" ht="15.75" customHeight="1">
      <c r="A982" s="15"/>
      <c r="B982" s="15"/>
      <c r="C982" s="15"/>
      <c r="D982" s="15"/>
      <c r="E982" s="15"/>
      <c r="F982" s="15"/>
      <c r="G982" s="15"/>
      <c r="H982" s="15"/>
      <c r="I982" s="15"/>
      <c r="J982" s="15"/>
      <c r="L982" s="15"/>
    </row>
    <row r="983" ht="15.75" customHeight="1">
      <c r="A983" s="15"/>
      <c r="B983" s="15"/>
      <c r="C983" s="15"/>
      <c r="D983" s="15"/>
      <c r="E983" s="15"/>
      <c r="F983" s="15"/>
      <c r="G983" s="15"/>
      <c r="H983" s="15"/>
      <c r="I983" s="15"/>
      <c r="J983" s="15"/>
      <c r="L983" s="15"/>
    </row>
    <row r="984" ht="15.75" customHeight="1">
      <c r="A984" s="15"/>
      <c r="B984" s="15"/>
      <c r="C984" s="15"/>
      <c r="D984" s="15"/>
      <c r="E984" s="15"/>
      <c r="F984" s="15"/>
      <c r="G984" s="15"/>
      <c r="H984" s="15"/>
      <c r="I984" s="15"/>
      <c r="J984" s="15"/>
      <c r="L984" s="15"/>
    </row>
    <row r="985" ht="15.75" customHeight="1">
      <c r="A985" s="15"/>
      <c r="B985" s="15"/>
      <c r="C985" s="15"/>
      <c r="D985" s="15"/>
      <c r="E985" s="15"/>
      <c r="F985" s="15"/>
      <c r="G985" s="15"/>
      <c r="H985" s="15"/>
      <c r="I985" s="15"/>
      <c r="J985" s="15"/>
      <c r="L985" s="15"/>
    </row>
    <row r="986" ht="15.75" customHeight="1">
      <c r="A986" s="15"/>
      <c r="B986" s="15"/>
      <c r="C986" s="15"/>
      <c r="D986" s="15"/>
      <c r="E986" s="15"/>
      <c r="F986" s="15"/>
      <c r="G986" s="15"/>
      <c r="H986" s="15"/>
      <c r="I986" s="15"/>
      <c r="J986" s="15"/>
      <c r="L986" s="15"/>
    </row>
    <row r="987" ht="15.75" customHeight="1">
      <c r="A987" s="15"/>
      <c r="B987" s="15"/>
      <c r="C987" s="15"/>
      <c r="D987" s="15"/>
      <c r="E987" s="15"/>
      <c r="F987" s="15"/>
      <c r="G987" s="15"/>
      <c r="H987" s="15"/>
      <c r="I987" s="15"/>
      <c r="J987" s="15"/>
      <c r="L987" s="15"/>
    </row>
    <row r="988" ht="15.75" customHeight="1">
      <c r="A988" s="15"/>
      <c r="B988" s="15"/>
      <c r="C988" s="15"/>
      <c r="D988" s="15"/>
      <c r="E988" s="15"/>
      <c r="F988" s="15"/>
      <c r="G988" s="15"/>
      <c r="H988" s="15"/>
      <c r="I988" s="15"/>
      <c r="J988" s="15"/>
      <c r="L988" s="15"/>
    </row>
    <row r="989" ht="15.75" customHeight="1">
      <c r="A989" s="15"/>
      <c r="B989" s="15"/>
      <c r="C989" s="15"/>
      <c r="D989" s="15"/>
      <c r="E989" s="15"/>
      <c r="F989" s="15"/>
      <c r="G989" s="15"/>
      <c r="H989" s="15"/>
      <c r="I989" s="15"/>
      <c r="J989" s="15"/>
      <c r="L989" s="15"/>
    </row>
    <row r="990" ht="15.75" customHeight="1">
      <c r="A990" s="15"/>
      <c r="B990" s="15"/>
      <c r="C990" s="15"/>
      <c r="D990" s="15"/>
      <c r="E990" s="15"/>
      <c r="F990" s="15"/>
      <c r="G990" s="15"/>
      <c r="H990" s="15"/>
      <c r="I990" s="15"/>
      <c r="J990" s="15"/>
      <c r="L990" s="15"/>
    </row>
    <row r="991" ht="15.75" customHeight="1">
      <c r="A991" s="15"/>
      <c r="B991" s="15"/>
      <c r="C991" s="15"/>
      <c r="D991" s="15"/>
      <c r="E991" s="15"/>
      <c r="F991" s="15"/>
      <c r="G991" s="15"/>
      <c r="H991" s="15"/>
      <c r="I991" s="15"/>
      <c r="J991" s="15"/>
      <c r="L991" s="15"/>
    </row>
    <row r="992" ht="15.75" customHeight="1">
      <c r="A992" s="15"/>
      <c r="B992" s="15"/>
      <c r="C992" s="15"/>
      <c r="D992" s="15"/>
      <c r="E992" s="15"/>
      <c r="F992" s="15"/>
      <c r="G992" s="15"/>
      <c r="H992" s="15"/>
      <c r="I992" s="15"/>
      <c r="J992" s="15"/>
      <c r="L992" s="15"/>
    </row>
    <row r="993" ht="15.75" customHeight="1">
      <c r="A993" s="15"/>
      <c r="B993" s="15"/>
      <c r="C993" s="15"/>
      <c r="D993" s="15"/>
      <c r="E993" s="15"/>
      <c r="F993" s="15"/>
      <c r="G993" s="15"/>
      <c r="H993" s="15"/>
      <c r="I993" s="15"/>
      <c r="J993" s="15"/>
      <c r="L993" s="15"/>
    </row>
    <row r="994" ht="15.75" customHeight="1">
      <c r="A994" s="15"/>
      <c r="B994" s="15"/>
      <c r="C994" s="15"/>
      <c r="D994" s="15"/>
      <c r="E994" s="15"/>
      <c r="F994" s="15"/>
      <c r="G994" s="15"/>
      <c r="H994" s="15"/>
      <c r="I994" s="15"/>
      <c r="J994" s="15"/>
      <c r="L994" s="15"/>
    </row>
    <row r="995" ht="15.75" customHeight="1">
      <c r="A995" s="15"/>
      <c r="B995" s="15"/>
      <c r="C995" s="15"/>
      <c r="D995" s="15"/>
      <c r="E995" s="15"/>
      <c r="F995" s="15"/>
      <c r="G995" s="15"/>
      <c r="H995" s="15"/>
      <c r="I995" s="15"/>
      <c r="J995" s="15"/>
      <c r="L995" s="15"/>
    </row>
    <row r="996" ht="15.75" customHeight="1">
      <c r="A996" s="15"/>
      <c r="B996" s="15"/>
      <c r="C996" s="15"/>
      <c r="D996" s="15"/>
      <c r="E996" s="15"/>
      <c r="F996" s="15"/>
      <c r="G996" s="15"/>
      <c r="H996" s="15"/>
      <c r="I996" s="15"/>
      <c r="J996" s="15"/>
      <c r="L996" s="15"/>
    </row>
    <row r="997" ht="15.75" customHeight="1">
      <c r="A997" s="15"/>
      <c r="B997" s="15"/>
      <c r="C997" s="15"/>
      <c r="D997" s="15"/>
      <c r="E997" s="15"/>
      <c r="F997" s="15"/>
      <c r="G997" s="15"/>
      <c r="H997" s="15"/>
      <c r="I997" s="15"/>
      <c r="J997" s="15"/>
      <c r="L997" s="15"/>
    </row>
    <row r="998" ht="15.75" customHeight="1">
      <c r="A998" s="15"/>
      <c r="B998" s="15"/>
      <c r="C998" s="15"/>
      <c r="D998" s="15"/>
      <c r="E998" s="15"/>
      <c r="F998" s="15"/>
      <c r="G998" s="15"/>
      <c r="H998" s="15"/>
      <c r="I998" s="15"/>
      <c r="J998" s="15"/>
      <c r="L998" s="15"/>
    </row>
    <row r="999" ht="15.75" customHeight="1">
      <c r="A999" s="15"/>
      <c r="B999" s="15"/>
      <c r="C999" s="15"/>
      <c r="D999" s="15"/>
      <c r="E999" s="15"/>
      <c r="F999" s="15"/>
      <c r="G999" s="15"/>
      <c r="H999" s="15"/>
      <c r="I999" s="15"/>
      <c r="J999" s="15"/>
      <c r="L999" s="15"/>
    </row>
    <row r="1000" ht="15.75" customHeight="1">
      <c r="A1000" s="15"/>
      <c r="B1000" s="15"/>
      <c r="C1000" s="15"/>
      <c r="D1000" s="15"/>
      <c r="E1000" s="15"/>
      <c r="F1000" s="15"/>
      <c r="G1000" s="15"/>
      <c r="H1000" s="15"/>
      <c r="I1000" s="15"/>
      <c r="J1000" s="15"/>
      <c r="L1000" s="15"/>
    </row>
  </sheetData>
  <autoFilter ref="$A$1:$Z$426">
    <filterColumn colId="4">
      <filters blank="1">
        <filter val="ad"/>
      </filters>
    </filterColumn>
    <filterColumn colId="2">
      <filters>
        <filter val="al"/>
      </filters>
    </filterColumn>
    <sortState ref="A1:Z426">
      <sortCondition descending="1" ref="J1:J426"/>
      <sortCondition ref="I1:I426"/>
      <sortCondition ref="K1:K426"/>
      <sortCondition ref="L1:L426"/>
      <sortCondition ref="M1:M426"/>
      <sortCondition ref="C1:C426"/>
    </sortState>
  </autoFilter>
  <dataValidations>
    <dataValidation type="list" allowBlank="1" showErrorMessage="1" sqref="I27:I28 I84">
      <formula1>'Dropdown of Selected Strategies'!$A$2:$A$74</formula1>
    </dataValidation>
    <dataValidation type="list" allowBlank="1" showErrorMessage="1" sqref="J1:J61 I62:J62 J63:J1000">
      <formula1>'Dropdown of Selected Strategies'!$A$2:$A$83</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5" max="5" width="71.0"/>
    <col customWidth="1" hidden="1" min="6" max="6" width="45.0"/>
    <col customWidth="1" min="7" max="7" width="13.88"/>
    <col customWidth="1" min="8" max="9" width="24.25"/>
    <col customWidth="1" min="18" max="18" width="29.88"/>
    <col customWidth="1" min="22" max="22" width="45.0"/>
    <col customWidth="1" min="23" max="23" width="43.0"/>
  </cols>
  <sheetData>
    <row r="1">
      <c r="A1" s="27" t="s">
        <v>1065</v>
      </c>
      <c r="B1" s="27" t="s">
        <v>1066</v>
      </c>
      <c r="C1" s="27" t="s">
        <v>1067</v>
      </c>
      <c r="D1" s="27" t="s">
        <v>1068</v>
      </c>
      <c r="E1" s="28" t="s">
        <v>5</v>
      </c>
      <c r="F1" s="28" t="s">
        <v>6</v>
      </c>
      <c r="G1" s="28" t="s">
        <v>1069</v>
      </c>
      <c r="H1" s="29" t="s">
        <v>1070</v>
      </c>
      <c r="I1" s="30" t="s">
        <v>1071</v>
      </c>
      <c r="J1" s="31" t="s">
        <v>1072</v>
      </c>
      <c r="K1" s="32" t="s">
        <v>1073</v>
      </c>
      <c r="L1" s="31" t="s">
        <v>1074</v>
      </c>
      <c r="M1" s="31" t="s">
        <v>1075</v>
      </c>
      <c r="N1" s="31" t="s">
        <v>1076</v>
      </c>
      <c r="O1" s="31" t="s">
        <v>1077</v>
      </c>
      <c r="P1" s="31" t="s">
        <v>1078</v>
      </c>
      <c r="Q1" s="31" t="s">
        <v>1079</v>
      </c>
      <c r="R1" s="29" t="s">
        <v>1080</v>
      </c>
      <c r="S1" s="33" t="s">
        <v>1081</v>
      </c>
      <c r="T1" s="33" t="s">
        <v>1082</v>
      </c>
      <c r="U1" s="33" t="s">
        <v>1083</v>
      </c>
      <c r="V1" s="33" t="s">
        <v>1084</v>
      </c>
      <c r="W1" s="33" t="s">
        <v>1085</v>
      </c>
      <c r="X1" s="34"/>
      <c r="Y1" s="34"/>
      <c r="Z1" s="34"/>
      <c r="AA1" s="34"/>
      <c r="AB1" s="34"/>
      <c r="AC1" s="34"/>
      <c r="AD1" s="34"/>
      <c r="AE1" s="34"/>
      <c r="AF1" s="34"/>
      <c r="AG1" s="34"/>
      <c r="AH1" s="34"/>
      <c r="AI1" s="34"/>
    </row>
    <row r="2">
      <c r="A2" s="35" t="s">
        <v>538</v>
      </c>
      <c r="B2" s="36" t="s">
        <v>1086</v>
      </c>
      <c r="C2" s="35" t="s">
        <v>1087</v>
      </c>
      <c r="D2" s="35" t="s">
        <v>1088</v>
      </c>
      <c r="E2" s="36" t="s">
        <v>552</v>
      </c>
      <c r="F2" s="36" t="s">
        <v>552</v>
      </c>
      <c r="G2" s="36" t="s">
        <v>1089</v>
      </c>
      <c r="H2" s="37" t="s">
        <v>1090</v>
      </c>
      <c r="I2" s="37" t="s">
        <v>1091</v>
      </c>
      <c r="J2" s="38"/>
      <c r="K2" s="38"/>
      <c r="L2" s="39">
        <f>492500</f>
        <v>492500</v>
      </c>
      <c r="M2" s="39">
        <f>2270390-N2</f>
        <v>1795390</v>
      </c>
      <c r="N2" s="39">
        <v>475000.0</v>
      </c>
      <c r="O2" s="39">
        <f>M2+N2</f>
        <v>2270390</v>
      </c>
      <c r="P2" s="36">
        <f>IF(AND((M2+N2)&gt;0,L2=0),"No Funding Goal",IF(AND((M2+N2)=0,L2=0),0,(M2+N2)/L2))</f>
        <v>4.609928934</v>
      </c>
      <c r="Q2" s="36"/>
      <c r="R2" s="38" t="s">
        <v>1092</v>
      </c>
      <c r="S2" s="36" t="s">
        <v>1093</v>
      </c>
      <c r="T2" s="38" t="s">
        <v>1094</v>
      </c>
      <c r="U2" s="36" t="str">
        <f t="shared" ref="U2:U7" si="1">IFS(
    P2="No Funding Goal","Not Included",
    P2="Not Applicable","Not Included",
    P2&gt;=0.75,"1. Easy",
    AND(P2&lt;0.75,P2&gt;=0.5),"2. Moderate",
    P2&lt;0.5,"3. Difficult"
)</f>
        <v>1. Easy</v>
      </c>
      <c r="V2" s="36" t="s">
        <v>1095</v>
      </c>
      <c r="W2" s="36" t="s">
        <v>1096</v>
      </c>
      <c r="X2" s="40"/>
      <c r="Y2" s="40"/>
      <c r="Z2" s="40"/>
      <c r="AA2" s="40"/>
      <c r="AB2" s="40"/>
      <c r="AC2" s="40"/>
      <c r="AD2" s="40"/>
      <c r="AE2" s="40"/>
      <c r="AF2" s="40"/>
      <c r="AG2" s="40"/>
      <c r="AH2" s="40"/>
      <c r="AI2" s="40"/>
    </row>
    <row r="3">
      <c r="A3" s="36" t="s">
        <v>538</v>
      </c>
      <c r="B3" s="36" t="s">
        <v>1086</v>
      </c>
      <c r="C3" s="35" t="s">
        <v>1087</v>
      </c>
      <c r="D3" s="35" t="s">
        <v>1088</v>
      </c>
      <c r="E3" s="36" t="s">
        <v>931</v>
      </c>
      <c r="F3" s="36" t="s">
        <v>931</v>
      </c>
      <c r="G3" s="35" t="s">
        <v>1089</v>
      </c>
      <c r="H3" s="41" t="s">
        <v>1097</v>
      </c>
      <c r="I3" s="38" t="s">
        <v>280</v>
      </c>
      <c r="J3" s="38"/>
      <c r="K3" s="38"/>
      <c r="L3" s="42"/>
      <c r="M3" s="42"/>
      <c r="N3" s="42"/>
      <c r="O3" s="42"/>
      <c r="P3" s="38" t="s">
        <v>1098</v>
      </c>
      <c r="Q3" s="38"/>
      <c r="R3" s="35" t="s">
        <v>1099</v>
      </c>
      <c r="S3" s="38" t="s">
        <v>1100</v>
      </c>
      <c r="T3" s="38" t="s">
        <v>1101</v>
      </c>
      <c r="U3" s="36" t="str">
        <f t="shared" si="1"/>
        <v>Not Included</v>
      </c>
      <c r="V3" s="38" t="s">
        <v>1102</v>
      </c>
      <c r="W3" s="38"/>
      <c r="X3" s="43"/>
      <c r="Y3" s="43"/>
      <c r="Z3" s="43"/>
      <c r="AA3" s="43"/>
      <c r="AB3" s="43"/>
      <c r="AC3" s="43"/>
      <c r="AD3" s="43"/>
      <c r="AE3" s="43"/>
      <c r="AF3" s="43"/>
      <c r="AG3" s="43"/>
      <c r="AH3" s="43"/>
    </row>
    <row r="4">
      <c r="A4" s="36" t="s">
        <v>538</v>
      </c>
      <c r="B4" s="36" t="s">
        <v>1086</v>
      </c>
      <c r="C4" s="35" t="s">
        <v>1087</v>
      </c>
      <c r="D4" s="35" t="s">
        <v>1088</v>
      </c>
      <c r="E4" s="36" t="s">
        <v>870</v>
      </c>
      <c r="F4" s="36" t="s">
        <v>870</v>
      </c>
      <c r="G4" s="35" t="s">
        <v>1089</v>
      </c>
      <c r="H4" s="41" t="s">
        <v>1097</v>
      </c>
      <c r="I4" s="38" t="s">
        <v>1103</v>
      </c>
      <c r="J4" s="38" t="s">
        <v>1104</v>
      </c>
      <c r="K4" s="38"/>
      <c r="L4" s="42"/>
      <c r="M4" s="42"/>
      <c r="N4" s="42"/>
      <c r="O4" s="42"/>
      <c r="P4" s="38" t="s">
        <v>1098</v>
      </c>
      <c r="Q4" s="38"/>
      <c r="R4" s="35" t="s">
        <v>1099</v>
      </c>
      <c r="S4" s="38" t="s">
        <v>1105</v>
      </c>
      <c r="T4" s="38" t="s">
        <v>1106</v>
      </c>
      <c r="U4" s="36" t="str">
        <f t="shared" si="1"/>
        <v>Not Included</v>
      </c>
      <c r="V4" s="38" t="s">
        <v>1107</v>
      </c>
      <c r="W4" s="38" t="s">
        <v>1108</v>
      </c>
    </row>
    <row r="5">
      <c r="A5" s="36" t="s">
        <v>538</v>
      </c>
      <c r="B5" s="36" t="s">
        <v>1086</v>
      </c>
      <c r="C5" s="35" t="s">
        <v>1087</v>
      </c>
      <c r="D5" s="35" t="s">
        <v>1088</v>
      </c>
      <c r="E5" s="36" t="s">
        <v>543</v>
      </c>
      <c r="F5" s="36" t="s">
        <v>543</v>
      </c>
      <c r="G5" s="35" t="s">
        <v>1089</v>
      </c>
      <c r="H5" s="41" t="s">
        <v>1097</v>
      </c>
      <c r="I5" s="37" t="s">
        <v>1109</v>
      </c>
      <c r="J5" s="38"/>
      <c r="K5" s="38"/>
      <c r="L5" s="42"/>
      <c r="M5" s="42"/>
      <c r="N5" s="42"/>
      <c r="O5" s="42"/>
      <c r="P5" s="38" t="s">
        <v>1098</v>
      </c>
      <c r="Q5" s="38"/>
      <c r="R5" s="35" t="s">
        <v>1099</v>
      </c>
      <c r="S5" s="38" t="s">
        <v>1105</v>
      </c>
      <c r="T5" s="38" t="s">
        <v>1106</v>
      </c>
      <c r="U5" s="36" t="str">
        <f t="shared" si="1"/>
        <v>Not Included</v>
      </c>
      <c r="V5" s="37"/>
      <c r="W5" s="37"/>
    </row>
    <row r="6">
      <c r="A6" s="35" t="s">
        <v>538</v>
      </c>
      <c r="B6" s="36" t="s">
        <v>1086</v>
      </c>
      <c r="C6" s="35" t="s">
        <v>1087</v>
      </c>
      <c r="D6" s="35" t="s">
        <v>1088</v>
      </c>
      <c r="E6" s="35" t="s">
        <v>1110</v>
      </c>
      <c r="F6" s="37"/>
      <c r="G6" s="35" t="s">
        <v>1089</v>
      </c>
      <c r="H6" s="44" t="s">
        <v>1097</v>
      </c>
      <c r="I6" s="44" t="s">
        <v>1111</v>
      </c>
      <c r="J6" s="38"/>
      <c r="K6" s="38"/>
      <c r="L6" s="39"/>
      <c r="M6" s="39"/>
      <c r="N6" s="39"/>
      <c r="O6" s="39"/>
      <c r="P6" s="38" t="s">
        <v>1098</v>
      </c>
      <c r="Q6" s="39"/>
      <c r="R6" s="35" t="s">
        <v>1099</v>
      </c>
      <c r="S6" s="35" t="s">
        <v>1093</v>
      </c>
      <c r="T6" s="35" t="s">
        <v>1112</v>
      </c>
      <c r="U6" s="36" t="str">
        <f t="shared" si="1"/>
        <v>Not Included</v>
      </c>
      <c r="V6" s="36"/>
      <c r="W6" s="37"/>
      <c r="X6" s="40"/>
      <c r="Y6" s="40"/>
      <c r="Z6" s="40"/>
      <c r="AA6" s="40"/>
      <c r="AB6" s="40"/>
      <c r="AC6" s="40"/>
      <c r="AD6" s="40"/>
      <c r="AE6" s="40"/>
      <c r="AF6" s="40"/>
      <c r="AG6" s="40"/>
      <c r="AH6" s="40"/>
      <c r="AI6" s="40"/>
    </row>
    <row r="7">
      <c r="A7" s="35" t="s">
        <v>538</v>
      </c>
      <c r="B7" s="36" t="s">
        <v>1086</v>
      </c>
      <c r="C7" s="35" t="s">
        <v>1087</v>
      </c>
      <c r="D7" s="35" t="s">
        <v>1088</v>
      </c>
      <c r="E7" s="35" t="s">
        <v>1113</v>
      </c>
      <c r="F7" s="37"/>
      <c r="G7" s="35" t="s">
        <v>1089</v>
      </c>
      <c r="H7" s="41" t="s">
        <v>1097</v>
      </c>
      <c r="I7" s="38" t="s">
        <v>1114</v>
      </c>
      <c r="J7" s="37" t="s">
        <v>1115</v>
      </c>
      <c r="K7" s="38"/>
      <c r="L7" s="39"/>
      <c r="M7" s="39"/>
      <c r="N7" s="39"/>
      <c r="O7" s="39"/>
      <c r="P7" s="38" t="s">
        <v>1098</v>
      </c>
      <c r="Q7" s="39"/>
      <c r="R7" s="35" t="s">
        <v>1099</v>
      </c>
      <c r="S7" s="35" t="s">
        <v>1105</v>
      </c>
      <c r="T7" s="35" t="s">
        <v>1112</v>
      </c>
      <c r="U7" s="36" t="str">
        <f t="shared" si="1"/>
        <v>Not Included</v>
      </c>
      <c r="V7" s="36"/>
      <c r="W7" s="37"/>
      <c r="X7" s="40"/>
      <c r="Y7" s="40"/>
      <c r="Z7" s="40"/>
      <c r="AA7" s="40"/>
      <c r="AB7" s="40"/>
      <c r="AC7" s="40"/>
      <c r="AD7" s="40"/>
      <c r="AE7" s="40"/>
      <c r="AF7" s="40"/>
      <c r="AG7" s="40"/>
      <c r="AH7" s="40"/>
      <c r="AI7" s="40"/>
    </row>
    <row r="8">
      <c r="A8" s="45" t="s">
        <v>538</v>
      </c>
      <c r="B8" s="45" t="s">
        <v>1086</v>
      </c>
      <c r="C8" s="35" t="s">
        <v>1087</v>
      </c>
      <c r="D8" s="35" t="s">
        <v>1088</v>
      </c>
      <c r="E8" s="46" t="s">
        <v>703</v>
      </c>
      <c r="F8" s="46" t="s">
        <v>703</v>
      </c>
      <c r="G8" s="45" t="s">
        <v>1116</v>
      </c>
      <c r="H8" s="40" t="s">
        <v>1117</v>
      </c>
      <c r="I8" s="40" t="s">
        <v>1118</v>
      </c>
      <c r="J8" s="40" t="s">
        <v>162</v>
      </c>
      <c r="K8" s="47"/>
      <c r="L8" s="47"/>
      <c r="M8" s="47"/>
      <c r="N8" s="47"/>
      <c r="O8" s="47"/>
      <c r="P8" s="38" t="s">
        <v>1098</v>
      </c>
      <c r="Q8" s="47"/>
      <c r="R8" s="8"/>
      <c r="S8" s="48" t="s">
        <v>1105</v>
      </c>
      <c r="T8" s="40" t="s">
        <v>1106</v>
      </c>
      <c r="U8" s="47"/>
      <c r="V8" s="8"/>
      <c r="W8" s="8"/>
    </row>
    <row r="9">
      <c r="A9" s="45" t="s">
        <v>538</v>
      </c>
      <c r="B9" s="45" t="s">
        <v>1086</v>
      </c>
      <c r="C9" s="35" t="s">
        <v>1087</v>
      </c>
      <c r="D9" s="35" t="s">
        <v>1088</v>
      </c>
      <c r="E9" s="49" t="s">
        <v>792</v>
      </c>
      <c r="F9" s="49" t="s">
        <v>792</v>
      </c>
      <c r="G9" s="45" t="s">
        <v>1116</v>
      </c>
      <c r="H9" s="40" t="s">
        <v>162</v>
      </c>
      <c r="I9" s="40" t="s">
        <v>1119</v>
      </c>
      <c r="J9" s="40" t="s">
        <v>1120</v>
      </c>
      <c r="K9" s="47"/>
      <c r="L9" s="47"/>
      <c r="M9" s="47"/>
      <c r="N9" s="47"/>
      <c r="O9" s="47"/>
      <c r="P9" s="38" t="s">
        <v>1098</v>
      </c>
      <c r="Q9" s="47"/>
      <c r="R9" s="40"/>
      <c r="S9" s="40" t="s">
        <v>1105</v>
      </c>
      <c r="T9" s="40" t="s">
        <v>1106</v>
      </c>
      <c r="U9" s="40"/>
      <c r="V9" s="40"/>
      <c r="W9" s="40" t="s">
        <v>1108</v>
      </c>
    </row>
    <row r="10">
      <c r="A10" s="45" t="s">
        <v>538</v>
      </c>
      <c r="B10" s="45" t="s">
        <v>1086</v>
      </c>
      <c r="C10" s="35" t="s">
        <v>1087</v>
      </c>
      <c r="D10" s="35" t="s">
        <v>1088</v>
      </c>
      <c r="E10" s="49" t="s">
        <v>732</v>
      </c>
      <c r="F10" s="49" t="s">
        <v>732</v>
      </c>
      <c r="G10" s="45" t="s">
        <v>1116</v>
      </c>
      <c r="H10" s="40" t="s">
        <v>162</v>
      </c>
      <c r="I10" s="40" t="s">
        <v>1121</v>
      </c>
      <c r="J10" s="40" t="s">
        <v>1122</v>
      </c>
      <c r="K10" s="47"/>
      <c r="L10" s="47"/>
      <c r="M10" s="47"/>
      <c r="N10" s="47"/>
      <c r="O10" s="47"/>
      <c r="P10" s="38" t="s">
        <v>1098</v>
      </c>
      <c r="Q10" s="47"/>
      <c r="R10" s="40"/>
      <c r="S10" s="40" t="s">
        <v>1105</v>
      </c>
      <c r="T10" s="40" t="s">
        <v>1106</v>
      </c>
      <c r="U10" s="40"/>
      <c r="V10" s="48" t="s">
        <v>1123</v>
      </c>
      <c r="W10" s="40" t="s">
        <v>1108</v>
      </c>
      <c r="AI10" s="50"/>
    </row>
    <row r="11">
      <c r="A11" s="45" t="s">
        <v>538</v>
      </c>
      <c r="B11" s="45" t="s">
        <v>1086</v>
      </c>
      <c r="C11" s="35" t="s">
        <v>1087</v>
      </c>
      <c r="D11" s="35" t="s">
        <v>1088</v>
      </c>
      <c r="E11" s="49" t="s">
        <v>984</v>
      </c>
      <c r="F11" s="49" t="s">
        <v>984</v>
      </c>
      <c r="G11" s="45" t="s">
        <v>1116</v>
      </c>
      <c r="H11" s="40" t="s">
        <v>162</v>
      </c>
      <c r="I11" s="40" t="s">
        <v>1124</v>
      </c>
      <c r="J11" s="47"/>
      <c r="K11" s="47"/>
      <c r="L11" s="47"/>
      <c r="M11" s="47"/>
      <c r="N11" s="47"/>
      <c r="O11" s="47"/>
      <c r="P11" s="38" t="s">
        <v>1098</v>
      </c>
      <c r="Q11" s="47"/>
      <c r="R11" s="40"/>
      <c r="S11" s="40" t="s">
        <v>1100</v>
      </c>
      <c r="T11" s="40" t="s">
        <v>1106</v>
      </c>
      <c r="U11" s="40"/>
      <c r="V11" s="48" t="s">
        <v>1125</v>
      </c>
      <c r="W11" s="40" t="s">
        <v>1108</v>
      </c>
    </row>
    <row r="12">
      <c r="A12" s="36" t="s">
        <v>538</v>
      </c>
      <c r="B12" s="36" t="s">
        <v>1086</v>
      </c>
      <c r="C12" s="35" t="s">
        <v>1087</v>
      </c>
      <c r="D12" s="35" t="s">
        <v>1088</v>
      </c>
      <c r="E12" s="36" t="s">
        <v>812</v>
      </c>
      <c r="F12" s="36" t="s">
        <v>1126</v>
      </c>
      <c r="G12" s="36" t="str">
        <f>IF(J12&lt;&gt;"CARB", "yes", "CARB")</f>
        <v>CARB</v>
      </c>
      <c r="H12" s="37" t="s">
        <v>162</v>
      </c>
      <c r="I12" s="37" t="s">
        <v>1127</v>
      </c>
      <c r="J12" s="38" t="s">
        <v>1116</v>
      </c>
      <c r="K12" s="38"/>
      <c r="L12" s="38"/>
      <c r="M12" s="38"/>
      <c r="N12" s="38"/>
      <c r="O12" s="38"/>
      <c r="P12" s="38" t="s">
        <v>1098</v>
      </c>
      <c r="Q12" s="38"/>
      <c r="R12" s="37"/>
      <c r="S12" s="38" t="s">
        <v>1100</v>
      </c>
      <c r="T12" s="38" t="s">
        <v>1112</v>
      </c>
      <c r="U12" s="36" t="str">
        <f>IFS(
    P12="No Funding Goal","Not Included",
    P12="Not Applicable","Not Included",
    P12&gt;=0.75,"1. Easy",
    AND(P12&lt;0.75,P12&gt;=0.5),"2. Moderate",
    P12&lt;0.5,"3. Difficult"
)</f>
        <v>Not Included</v>
      </c>
      <c r="V12" s="37"/>
      <c r="W12" s="37" t="s">
        <v>1128</v>
      </c>
    </row>
    <row r="13">
      <c r="A13" s="45" t="s">
        <v>538</v>
      </c>
      <c r="B13" s="45" t="s">
        <v>1086</v>
      </c>
      <c r="C13" s="35" t="s">
        <v>1087</v>
      </c>
      <c r="D13" s="35" t="s">
        <v>1088</v>
      </c>
      <c r="E13" s="46" t="s">
        <v>788</v>
      </c>
      <c r="F13" s="46" t="s">
        <v>788</v>
      </c>
      <c r="G13" s="45" t="s">
        <v>1116</v>
      </c>
      <c r="H13" s="8" t="s">
        <v>1129</v>
      </c>
      <c r="I13" s="8"/>
      <c r="J13" s="47"/>
      <c r="K13" s="47"/>
      <c r="L13" s="47"/>
      <c r="M13" s="47"/>
      <c r="N13" s="47"/>
      <c r="O13" s="47"/>
      <c r="P13" s="38" t="s">
        <v>1098</v>
      </c>
      <c r="Q13" s="47"/>
      <c r="R13" s="8"/>
      <c r="S13" s="40" t="s">
        <v>1105</v>
      </c>
      <c r="T13" s="40" t="s">
        <v>1106</v>
      </c>
      <c r="U13" s="47"/>
      <c r="V13" s="8"/>
      <c r="W13" s="8"/>
    </row>
    <row r="14">
      <c r="A14" s="35" t="s">
        <v>538</v>
      </c>
      <c r="B14" s="36" t="s">
        <v>1086</v>
      </c>
      <c r="C14" s="35" t="s">
        <v>1087</v>
      </c>
      <c r="D14" s="35" t="s">
        <v>1088</v>
      </c>
      <c r="E14" s="36" t="s">
        <v>1130</v>
      </c>
      <c r="F14" s="37"/>
      <c r="G14" s="35" t="s">
        <v>1089</v>
      </c>
      <c r="H14" s="41" t="s">
        <v>1097</v>
      </c>
      <c r="I14" s="37" t="s">
        <v>1131</v>
      </c>
      <c r="J14" s="38"/>
      <c r="K14" s="38"/>
      <c r="L14" s="39"/>
      <c r="M14" s="39"/>
      <c r="N14" s="39"/>
      <c r="O14" s="39"/>
      <c r="P14" s="38" t="s">
        <v>1098</v>
      </c>
      <c r="Q14" s="39"/>
      <c r="R14" s="35" t="s">
        <v>1099</v>
      </c>
      <c r="S14" s="35" t="s">
        <v>1093</v>
      </c>
      <c r="T14" s="35" t="s">
        <v>1112</v>
      </c>
      <c r="U14" s="36" t="str">
        <f t="shared" ref="U14:U16" si="2">IFS(
    P14="No Funding Goal","Not Included",
    P14="Not Applicable","Not Included",
    P14&gt;=0.75,"1. Easy",
    AND(P14&lt;0.75,P14&gt;=0.5),"2. Moderate",
    P14&lt;0.5,"3. Difficult"
)</f>
        <v>Not Included</v>
      </c>
      <c r="V14" s="36"/>
      <c r="W14" s="37"/>
      <c r="X14" s="40"/>
      <c r="Y14" s="40"/>
      <c r="Z14" s="40"/>
      <c r="AA14" s="40"/>
      <c r="AB14" s="40"/>
      <c r="AC14" s="40"/>
      <c r="AD14" s="40"/>
      <c r="AE14" s="40"/>
      <c r="AF14" s="40"/>
      <c r="AG14" s="40"/>
      <c r="AH14" s="40"/>
      <c r="AI14" s="40"/>
    </row>
    <row r="15">
      <c r="A15" s="35" t="s">
        <v>538</v>
      </c>
      <c r="B15" s="36" t="s">
        <v>1086</v>
      </c>
      <c r="C15" s="35" t="s">
        <v>1087</v>
      </c>
      <c r="D15" s="35" t="s">
        <v>1088</v>
      </c>
      <c r="E15" s="36" t="s">
        <v>1132</v>
      </c>
      <c r="F15" s="37"/>
      <c r="G15" s="35" t="s">
        <v>1089</v>
      </c>
      <c r="H15" s="41" t="s">
        <v>1097</v>
      </c>
      <c r="I15" s="37" t="s">
        <v>1133</v>
      </c>
      <c r="J15" s="38" t="s">
        <v>1134</v>
      </c>
      <c r="K15" s="38"/>
      <c r="L15" s="39"/>
      <c r="M15" s="39"/>
      <c r="N15" s="39"/>
      <c r="O15" s="39"/>
      <c r="P15" s="38" t="s">
        <v>1098</v>
      </c>
      <c r="Q15" s="39"/>
      <c r="R15" s="35" t="s">
        <v>1099</v>
      </c>
      <c r="S15" s="35" t="s">
        <v>1105</v>
      </c>
      <c r="T15" s="35" t="s">
        <v>1112</v>
      </c>
      <c r="U15" s="36" t="str">
        <f t="shared" si="2"/>
        <v>Not Included</v>
      </c>
      <c r="V15" s="36"/>
      <c r="W15" s="37"/>
      <c r="X15" s="40"/>
      <c r="Y15" s="40"/>
      <c r="Z15" s="40"/>
      <c r="AA15" s="40"/>
      <c r="AB15" s="40"/>
      <c r="AC15" s="40"/>
      <c r="AD15" s="40"/>
      <c r="AE15" s="40"/>
      <c r="AF15" s="40"/>
      <c r="AG15" s="40"/>
      <c r="AH15" s="40"/>
      <c r="AI15" s="40"/>
    </row>
    <row r="16">
      <c r="A16" s="35" t="s">
        <v>538</v>
      </c>
      <c r="B16" s="36" t="s">
        <v>1086</v>
      </c>
      <c r="C16" s="35" t="s">
        <v>1087</v>
      </c>
      <c r="D16" s="35" t="s">
        <v>1088</v>
      </c>
      <c r="E16" s="35" t="s">
        <v>1135</v>
      </c>
      <c r="F16" s="37"/>
      <c r="G16" s="35" t="s">
        <v>1089</v>
      </c>
      <c r="H16" s="41" t="s">
        <v>1097</v>
      </c>
      <c r="I16" s="37" t="s">
        <v>1136</v>
      </c>
      <c r="J16" s="38" t="s">
        <v>1131</v>
      </c>
      <c r="K16" s="38"/>
      <c r="L16" s="39"/>
      <c r="M16" s="39"/>
      <c r="N16" s="39"/>
      <c r="O16" s="39"/>
      <c r="P16" s="38" t="s">
        <v>1098</v>
      </c>
      <c r="Q16" s="39"/>
      <c r="R16" s="35" t="s">
        <v>1099</v>
      </c>
      <c r="S16" s="35" t="s">
        <v>1105</v>
      </c>
      <c r="T16" s="35" t="s">
        <v>1112</v>
      </c>
      <c r="U16" s="36" t="str">
        <f t="shared" si="2"/>
        <v>Not Included</v>
      </c>
      <c r="V16" s="36"/>
      <c r="W16" s="37"/>
      <c r="X16" s="40"/>
      <c r="Y16" s="40"/>
      <c r="Z16" s="40"/>
      <c r="AA16" s="40"/>
      <c r="AB16" s="40"/>
      <c r="AC16" s="40"/>
      <c r="AD16" s="40"/>
      <c r="AE16" s="40"/>
      <c r="AF16" s="40"/>
      <c r="AG16" s="40"/>
      <c r="AH16" s="40"/>
      <c r="AI16" s="40"/>
    </row>
    <row r="17">
      <c r="A17" s="38" t="s">
        <v>538</v>
      </c>
      <c r="B17" s="36" t="s">
        <v>1086</v>
      </c>
      <c r="C17" s="35" t="s">
        <v>1087</v>
      </c>
      <c r="D17" s="35" t="s">
        <v>1088</v>
      </c>
      <c r="E17" s="44" t="s">
        <v>1137</v>
      </c>
      <c r="F17" s="37" t="s">
        <v>1138</v>
      </c>
      <c r="G17" s="36" t="s">
        <v>1116</v>
      </c>
      <c r="H17" s="38" t="s">
        <v>1139</v>
      </c>
      <c r="I17" s="38" t="s">
        <v>1140</v>
      </c>
      <c r="J17" s="38"/>
      <c r="K17" s="38"/>
      <c r="L17" s="38"/>
      <c r="M17" s="38"/>
      <c r="N17" s="38"/>
      <c r="O17" s="38"/>
      <c r="P17" s="38" t="s">
        <v>1098</v>
      </c>
      <c r="Q17" s="38"/>
      <c r="R17" s="37"/>
      <c r="S17" s="38"/>
      <c r="T17" s="38"/>
      <c r="U17" s="38"/>
      <c r="V17" s="37"/>
      <c r="W17" s="37"/>
    </row>
    <row r="18">
      <c r="A18" s="35" t="s">
        <v>538</v>
      </c>
      <c r="B18" s="36" t="s">
        <v>1086</v>
      </c>
      <c r="C18" s="35" t="s">
        <v>1087</v>
      </c>
      <c r="D18" s="35" t="s">
        <v>1088</v>
      </c>
      <c r="E18" s="36" t="s">
        <v>1141</v>
      </c>
      <c r="F18" s="37"/>
      <c r="G18" s="35" t="s">
        <v>1089</v>
      </c>
      <c r="H18" s="41" t="s">
        <v>1097</v>
      </c>
      <c r="I18" s="37" t="s">
        <v>1133</v>
      </c>
      <c r="J18" s="38" t="s">
        <v>1142</v>
      </c>
      <c r="K18" s="38"/>
      <c r="L18" s="39"/>
      <c r="M18" s="39"/>
      <c r="N18" s="39"/>
      <c r="O18" s="39"/>
      <c r="P18" s="38" t="s">
        <v>1098</v>
      </c>
      <c r="Q18" s="39"/>
      <c r="R18" s="35" t="s">
        <v>1099</v>
      </c>
      <c r="S18" s="35" t="s">
        <v>1100</v>
      </c>
      <c r="T18" s="35" t="s">
        <v>1112</v>
      </c>
      <c r="U18" s="36" t="str">
        <f t="shared" ref="U18:U19" si="3">IFS(
    P18="No Funding Goal","Not Included",
    P18="Not Applicable","Not Included",
    P18&gt;=0.75,"1. Easy",
    AND(P18&lt;0.75,P18&gt;=0.5),"2. Moderate",
    P18&lt;0.5,"3. Difficult"
)</f>
        <v>Not Included</v>
      </c>
      <c r="V18" s="36"/>
      <c r="W18" s="37"/>
      <c r="X18" s="40"/>
      <c r="Y18" s="40"/>
      <c r="Z18" s="40"/>
      <c r="AA18" s="40"/>
      <c r="AB18" s="40"/>
      <c r="AC18" s="40"/>
      <c r="AD18" s="40"/>
      <c r="AE18" s="40"/>
      <c r="AF18" s="40"/>
      <c r="AG18" s="40"/>
      <c r="AH18" s="40"/>
      <c r="AI18" s="40"/>
    </row>
    <row r="19" ht="15.75" customHeight="1">
      <c r="A19" s="35" t="s">
        <v>538</v>
      </c>
      <c r="B19" s="36" t="s">
        <v>1086</v>
      </c>
      <c r="C19" s="35" t="s">
        <v>1087</v>
      </c>
      <c r="D19" s="35" t="s">
        <v>1088</v>
      </c>
      <c r="E19" s="36" t="s">
        <v>1143</v>
      </c>
      <c r="F19" s="37"/>
      <c r="G19" s="35" t="s">
        <v>1089</v>
      </c>
      <c r="H19" s="41" t="s">
        <v>1097</v>
      </c>
      <c r="I19" s="37" t="s">
        <v>1133</v>
      </c>
      <c r="J19" s="38" t="s">
        <v>1144</v>
      </c>
      <c r="K19" s="38"/>
      <c r="L19" s="39"/>
      <c r="M19" s="39"/>
      <c r="N19" s="39"/>
      <c r="O19" s="39"/>
      <c r="P19" s="38" t="s">
        <v>1098</v>
      </c>
      <c r="Q19" s="39"/>
      <c r="R19" s="35" t="s">
        <v>1099</v>
      </c>
      <c r="S19" s="35" t="s">
        <v>1100</v>
      </c>
      <c r="T19" s="35" t="s">
        <v>1112</v>
      </c>
      <c r="U19" s="36" t="str">
        <f t="shared" si="3"/>
        <v>Not Included</v>
      </c>
      <c r="V19" s="36"/>
      <c r="W19" s="37"/>
      <c r="X19" s="40"/>
      <c r="Y19" s="40"/>
      <c r="Z19" s="40"/>
      <c r="AA19" s="40"/>
      <c r="AB19" s="40"/>
      <c r="AC19" s="40"/>
      <c r="AD19" s="40"/>
      <c r="AE19" s="40"/>
      <c r="AF19" s="40"/>
      <c r="AG19" s="40"/>
      <c r="AH19" s="40"/>
      <c r="AI19" s="40"/>
    </row>
    <row r="20" ht="282.75" customHeight="1">
      <c r="A20" s="36" t="s">
        <v>538</v>
      </c>
      <c r="B20" s="36" t="s">
        <v>1086</v>
      </c>
      <c r="C20" s="35" t="s">
        <v>1087</v>
      </c>
      <c r="D20" s="35" t="s">
        <v>1088</v>
      </c>
      <c r="E20" s="36" t="s">
        <v>602</v>
      </c>
      <c r="F20" s="36" t="s">
        <v>602</v>
      </c>
      <c r="G20" s="36" t="s">
        <v>1089</v>
      </c>
      <c r="H20" s="37" t="s">
        <v>1145</v>
      </c>
      <c r="I20" s="37"/>
      <c r="J20" s="38"/>
      <c r="K20" s="38"/>
      <c r="L20" s="39">
        <v>0.0</v>
      </c>
      <c r="M20" s="39">
        <v>0.0</v>
      </c>
      <c r="N20" s="39">
        <v>0.0</v>
      </c>
      <c r="O20" s="39">
        <f>M20+N20</f>
        <v>0</v>
      </c>
      <c r="P20" s="47"/>
      <c r="Q20" s="36"/>
      <c r="R20" s="36" t="s">
        <v>1146</v>
      </c>
      <c r="S20" s="36" t="s">
        <v>1100</v>
      </c>
      <c r="T20" s="38" t="s">
        <v>1112</v>
      </c>
      <c r="U20" s="36" t="str">
        <f>IFS(
    Q20="No Funding Goal","Not Included",
    Q20="Not Applicable","Not Included",
    Q20&gt;=0.75,"1. Easy",
    AND(Q20&lt;0.75,Q20&gt;=0.5),"2. Moderate",
    Q20&lt;0.5,"3. Difficult"
)</f>
        <v>3. Difficult</v>
      </c>
      <c r="V20" s="36" t="s">
        <v>1147</v>
      </c>
      <c r="W20" s="36" t="s">
        <v>1148</v>
      </c>
      <c r="X20" s="51"/>
      <c r="Y20" s="51"/>
      <c r="Z20" s="51"/>
      <c r="AA20" s="51"/>
      <c r="AB20" s="51"/>
      <c r="AC20" s="51"/>
      <c r="AD20" s="51"/>
      <c r="AE20" s="51"/>
      <c r="AF20" s="51"/>
      <c r="AG20" s="51"/>
      <c r="AH20" s="51"/>
    </row>
    <row r="21" ht="49.5" customHeight="1">
      <c r="A21" s="35" t="s">
        <v>538</v>
      </c>
      <c r="B21" s="36" t="s">
        <v>1086</v>
      </c>
      <c r="C21" s="35" t="s">
        <v>1087</v>
      </c>
      <c r="D21" s="35" t="s">
        <v>1088</v>
      </c>
      <c r="E21" s="36" t="s">
        <v>1149</v>
      </c>
      <c r="F21" s="37"/>
      <c r="G21" s="35" t="s">
        <v>1089</v>
      </c>
      <c r="H21" s="41" t="s">
        <v>1097</v>
      </c>
      <c r="I21" s="37" t="s">
        <v>1150</v>
      </c>
      <c r="J21" s="38" t="s">
        <v>1151</v>
      </c>
      <c r="K21" s="38"/>
      <c r="L21" s="39"/>
      <c r="M21" s="39"/>
      <c r="N21" s="39"/>
      <c r="O21" s="39"/>
      <c r="P21" s="38" t="s">
        <v>1098</v>
      </c>
      <c r="Q21" s="39"/>
      <c r="R21" s="38" t="s">
        <v>1152</v>
      </c>
      <c r="S21" s="35" t="s">
        <v>1105</v>
      </c>
      <c r="T21" s="35" t="s">
        <v>1112</v>
      </c>
      <c r="U21" s="36" t="str">
        <f t="shared" ref="U21:U25" si="4">IFS(
    P21="No Funding Goal","Not Included",
    P21="Not Applicable","Not Included",
    P21&gt;=0.75,"1. Easy",
    AND(P21&lt;0.75,P21&gt;=0.5),"2. Moderate",
    P21&lt;0.5,"3. Difficult"
)</f>
        <v>Not Included</v>
      </c>
      <c r="V21" s="36"/>
      <c r="W21" s="37"/>
      <c r="X21" s="40"/>
      <c r="Y21" s="40"/>
      <c r="Z21" s="40"/>
      <c r="AA21" s="40"/>
      <c r="AB21" s="40"/>
      <c r="AC21" s="40"/>
      <c r="AD21" s="40"/>
      <c r="AE21" s="40"/>
      <c r="AF21" s="40"/>
      <c r="AG21" s="40"/>
      <c r="AH21" s="40"/>
      <c r="AI21" s="40"/>
    </row>
    <row r="22" ht="105.0" customHeight="1">
      <c r="A22" s="35" t="s">
        <v>538</v>
      </c>
      <c r="B22" s="36" t="s">
        <v>1086</v>
      </c>
      <c r="C22" s="35" t="s">
        <v>1087</v>
      </c>
      <c r="D22" s="35" t="s">
        <v>1088</v>
      </c>
      <c r="E22" s="35" t="s">
        <v>1153</v>
      </c>
      <c r="F22" s="37"/>
      <c r="G22" s="35" t="s">
        <v>1089</v>
      </c>
      <c r="H22" s="41" t="s">
        <v>1097</v>
      </c>
      <c r="I22" s="37" t="s">
        <v>1154</v>
      </c>
      <c r="J22" s="38"/>
      <c r="K22" s="38"/>
      <c r="L22" s="39"/>
      <c r="M22" s="39"/>
      <c r="N22" s="39"/>
      <c r="O22" s="39"/>
      <c r="P22" s="38" t="s">
        <v>1098</v>
      </c>
      <c r="Q22" s="39"/>
      <c r="R22" s="35" t="s">
        <v>1099</v>
      </c>
      <c r="S22" s="35" t="s">
        <v>1105</v>
      </c>
      <c r="T22" s="35" t="s">
        <v>1112</v>
      </c>
      <c r="U22" s="36" t="str">
        <f t="shared" si="4"/>
        <v>Not Included</v>
      </c>
      <c r="V22" s="36"/>
      <c r="W22" s="37"/>
      <c r="X22" s="40"/>
      <c r="Y22" s="40"/>
      <c r="Z22" s="40"/>
      <c r="AA22" s="40"/>
      <c r="AB22" s="40"/>
      <c r="AC22" s="40"/>
      <c r="AD22" s="40"/>
      <c r="AE22" s="40"/>
      <c r="AF22" s="40"/>
      <c r="AG22" s="40"/>
      <c r="AH22" s="40"/>
      <c r="AI22" s="40"/>
    </row>
    <row r="23" ht="15.75" customHeight="1">
      <c r="A23" s="35" t="s">
        <v>538</v>
      </c>
      <c r="B23" s="36" t="s">
        <v>1086</v>
      </c>
      <c r="C23" s="35" t="s">
        <v>1087</v>
      </c>
      <c r="D23" s="35" t="s">
        <v>1088</v>
      </c>
      <c r="E23" s="35" t="s">
        <v>1155</v>
      </c>
      <c r="F23" s="37"/>
      <c r="G23" s="35" t="s">
        <v>1089</v>
      </c>
      <c r="H23" s="44" t="s">
        <v>1097</v>
      </c>
      <c r="I23" s="37" t="s">
        <v>1156</v>
      </c>
      <c r="J23" s="38"/>
      <c r="K23" s="38"/>
      <c r="L23" s="39"/>
      <c r="M23" s="39"/>
      <c r="N23" s="39"/>
      <c r="O23" s="39"/>
      <c r="P23" s="38" t="s">
        <v>1098</v>
      </c>
      <c r="Q23" s="39"/>
      <c r="R23" s="35" t="s">
        <v>1099</v>
      </c>
      <c r="S23" s="35" t="s">
        <v>1093</v>
      </c>
      <c r="T23" s="35" t="s">
        <v>1112</v>
      </c>
      <c r="U23" s="36" t="str">
        <f t="shared" si="4"/>
        <v>Not Included</v>
      </c>
      <c r="V23" s="36"/>
      <c r="W23" s="37"/>
      <c r="X23" s="40"/>
      <c r="Y23" s="40"/>
      <c r="Z23" s="40"/>
      <c r="AA23" s="40"/>
      <c r="AB23" s="40"/>
      <c r="AC23" s="40"/>
      <c r="AD23" s="40"/>
      <c r="AE23" s="40"/>
      <c r="AF23" s="40"/>
      <c r="AG23" s="40"/>
      <c r="AH23" s="40"/>
      <c r="AI23" s="40"/>
    </row>
    <row r="24" ht="15.75" customHeight="1">
      <c r="A24" s="36" t="s">
        <v>538</v>
      </c>
      <c r="B24" s="36" t="s">
        <v>1086</v>
      </c>
      <c r="C24" s="35" t="s">
        <v>1087</v>
      </c>
      <c r="D24" s="35" t="s">
        <v>1088</v>
      </c>
      <c r="E24" s="36" t="s">
        <v>681</v>
      </c>
      <c r="F24" s="36" t="s">
        <v>681</v>
      </c>
      <c r="G24" s="36" t="s">
        <v>1089</v>
      </c>
      <c r="H24" s="38" t="s">
        <v>1157</v>
      </c>
      <c r="I24" s="38" t="s">
        <v>1158</v>
      </c>
      <c r="J24" s="38"/>
      <c r="K24" s="38"/>
      <c r="L24" s="42"/>
      <c r="M24" s="42">
        <v>0.0</v>
      </c>
      <c r="N24" s="42">
        <v>1729000.0</v>
      </c>
      <c r="O24" s="39">
        <f t="shared" ref="O24:O25" si="5">M24+N24</f>
        <v>1729000</v>
      </c>
      <c r="P24" s="36" t="str">
        <f>IF(AND((M24+N24)&gt;0,L24=0),"1",IF(AND((M24+N24)=0,L24=0),0,(M24+N24)/L24))</f>
        <v>1</v>
      </c>
      <c r="Q24" s="36"/>
      <c r="R24" s="36" t="s">
        <v>1159</v>
      </c>
      <c r="S24" s="38" t="s">
        <v>1105</v>
      </c>
      <c r="T24" s="38" t="s">
        <v>1112</v>
      </c>
      <c r="U24" s="36" t="str">
        <f t="shared" si="4"/>
        <v>1. Easy</v>
      </c>
      <c r="V24" s="38" t="s">
        <v>1160</v>
      </c>
      <c r="W24" s="38" t="s">
        <v>1161</v>
      </c>
    </row>
    <row r="25" ht="94.5" customHeight="1">
      <c r="A25" s="36" t="s">
        <v>538</v>
      </c>
      <c r="B25" s="36" t="s">
        <v>1086</v>
      </c>
      <c r="C25" s="35" t="s">
        <v>1087</v>
      </c>
      <c r="D25" s="35" t="s">
        <v>1088</v>
      </c>
      <c r="E25" s="36" t="s">
        <v>540</v>
      </c>
      <c r="F25" s="36" t="s">
        <v>540</v>
      </c>
      <c r="G25" s="36" t="s">
        <v>1089</v>
      </c>
      <c r="H25" s="37" t="s">
        <v>1162</v>
      </c>
      <c r="I25" s="37" t="s">
        <v>1163</v>
      </c>
      <c r="J25" s="38" t="s">
        <v>1164</v>
      </c>
      <c r="K25" s="38"/>
      <c r="L25" s="42"/>
      <c r="M25" s="42"/>
      <c r="N25" s="42"/>
      <c r="O25" s="39">
        <f t="shared" si="5"/>
        <v>0</v>
      </c>
      <c r="P25" s="38" t="s">
        <v>1098</v>
      </c>
      <c r="Q25" s="38"/>
      <c r="R25" s="37" t="s">
        <v>1165</v>
      </c>
      <c r="S25" s="38" t="s">
        <v>1105</v>
      </c>
      <c r="T25" s="38" t="s">
        <v>1112</v>
      </c>
      <c r="U25" s="36" t="str">
        <f t="shared" si="4"/>
        <v>Not Included</v>
      </c>
      <c r="V25" s="37"/>
      <c r="W25" s="37"/>
    </row>
    <row r="26" ht="59.25" customHeight="1">
      <c r="A26" s="35" t="s">
        <v>538</v>
      </c>
      <c r="B26" s="36" t="s">
        <v>1086</v>
      </c>
      <c r="C26" s="35" t="s">
        <v>1087</v>
      </c>
      <c r="D26" s="35" t="s">
        <v>1088</v>
      </c>
      <c r="E26" s="35" t="s">
        <v>1166</v>
      </c>
      <c r="F26" s="37"/>
      <c r="G26" s="44" t="s">
        <v>1167</v>
      </c>
      <c r="H26" s="44" t="s">
        <v>1097</v>
      </c>
      <c r="I26" s="37" t="s">
        <v>1168</v>
      </c>
      <c r="J26" s="38"/>
      <c r="K26" s="38"/>
      <c r="L26" s="39"/>
      <c r="M26" s="39"/>
      <c r="N26" s="39"/>
      <c r="O26" s="39"/>
      <c r="P26" s="38" t="s">
        <v>1098</v>
      </c>
      <c r="Q26" s="39"/>
      <c r="R26" s="36"/>
      <c r="S26" s="35" t="s">
        <v>1105</v>
      </c>
      <c r="T26" s="35" t="s">
        <v>1112</v>
      </c>
      <c r="U26" s="38"/>
      <c r="V26" s="36"/>
      <c r="W26" s="37"/>
      <c r="X26" s="40"/>
      <c r="Y26" s="40"/>
      <c r="Z26" s="40"/>
      <c r="AA26" s="40"/>
      <c r="AB26" s="40"/>
      <c r="AC26" s="40"/>
      <c r="AD26" s="40"/>
      <c r="AE26" s="40"/>
      <c r="AF26" s="40"/>
      <c r="AG26" s="40"/>
      <c r="AH26" s="40"/>
      <c r="AI26" s="40"/>
    </row>
    <row r="27" ht="15.75" customHeight="1">
      <c r="A27" s="35" t="s">
        <v>538</v>
      </c>
      <c r="B27" s="36" t="s">
        <v>1086</v>
      </c>
      <c r="C27" s="35" t="s">
        <v>1087</v>
      </c>
      <c r="D27" s="35" t="s">
        <v>1088</v>
      </c>
      <c r="E27" s="35" t="s">
        <v>1169</v>
      </c>
      <c r="F27" s="37"/>
      <c r="G27" s="37" t="s">
        <v>1116</v>
      </c>
      <c r="H27" s="37" t="s">
        <v>1139</v>
      </c>
      <c r="I27" s="37" t="s">
        <v>1170</v>
      </c>
      <c r="J27" s="38"/>
      <c r="K27" s="38"/>
      <c r="L27" s="39"/>
      <c r="M27" s="39"/>
      <c r="N27" s="39"/>
      <c r="O27" s="39"/>
      <c r="P27" s="38" t="s">
        <v>1098</v>
      </c>
      <c r="Q27" s="39"/>
      <c r="R27" s="36"/>
      <c r="S27" s="36"/>
      <c r="T27" s="36"/>
      <c r="U27" s="38"/>
      <c r="V27" s="36"/>
      <c r="W27" s="37"/>
      <c r="X27" s="40"/>
      <c r="Y27" s="40"/>
      <c r="Z27" s="40"/>
      <c r="AA27" s="40"/>
      <c r="AB27" s="40"/>
      <c r="AC27" s="40"/>
      <c r="AD27" s="40"/>
      <c r="AE27" s="40"/>
      <c r="AF27" s="40"/>
      <c r="AG27" s="40"/>
      <c r="AH27" s="40"/>
      <c r="AI27" s="40"/>
    </row>
    <row r="28" ht="47.25" customHeight="1">
      <c r="A28" s="35" t="s">
        <v>538</v>
      </c>
      <c r="B28" s="36" t="s">
        <v>1086</v>
      </c>
      <c r="C28" s="35" t="s">
        <v>1087</v>
      </c>
      <c r="D28" s="35" t="s">
        <v>1088</v>
      </c>
      <c r="E28" s="35" t="s">
        <v>1171</v>
      </c>
      <c r="F28" s="37"/>
      <c r="G28" s="37" t="s">
        <v>1116</v>
      </c>
      <c r="H28" s="37" t="s">
        <v>1139</v>
      </c>
      <c r="I28" s="37" t="s">
        <v>1172</v>
      </c>
      <c r="J28" s="38"/>
      <c r="K28" s="38"/>
      <c r="L28" s="39"/>
      <c r="M28" s="39"/>
      <c r="N28" s="39"/>
      <c r="O28" s="39"/>
      <c r="P28" s="38" t="s">
        <v>1098</v>
      </c>
      <c r="Q28" s="39"/>
      <c r="R28" s="36"/>
      <c r="S28" s="36"/>
      <c r="T28" s="36"/>
      <c r="U28" s="38"/>
      <c r="V28" s="36"/>
      <c r="W28" s="37"/>
      <c r="X28" s="40"/>
      <c r="Y28" s="40"/>
      <c r="Z28" s="40"/>
      <c r="AA28" s="40"/>
      <c r="AB28" s="40"/>
      <c r="AC28" s="40"/>
      <c r="AD28" s="40"/>
      <c r="AE28" s="40"/>
      <c r="AF28" s="40"/>
      <c r="AG28" s="40"/>
      <c r="AH28" s="40"/>
      <c r="AI28" s="40"/>
    </row>
    <row r="29" ht="60.75" customHeight="1">
      <c r="A29" s="35" t="s">
        <v>538</v>
      </c>
      <c r="B29" s="36" t="s">
        <v>1086</v>
      </c>
      <c r="C29" s="35" t="s">
        <v>1087</v>
      </c>
      <c r="D29" s="35" t="s">
        <v>1088</v>
      </c>
      <c r="E29" s="35" t="s">
        <v>1173</v>
      </c>
      <c r="F29" s="37"/>
      <c r="G29" s="37" t="s">
        <v>1116</v>
      </c>
      <c r="H29" s="37" t="s">
        <v>1139</v>
      </c>
      <c r="I29" s="37" t="s">
        <v>1174</v>
      </c>
      <c r="J29" s="38"/>
      <c r="K29" s="38"/>
      <c r="L29" s="39"/>
      <c r="M29" s="39"/>
      <c r="N29" s="39"/>
      <c r="O29" s="39"/>
      <c r="P29" s="38" t="s">
        <v>1098</v>
      </c>
      <c r="Q29" s="39"/>
      <c r="R29" s="36"/>
      <c r="S29" s="36"/>
      <c r="T29" s="36"/>
      <c r="U29" s="38"/>
      <c r="V29" s="36"/>
      <c r="W29" s="37"/>
      <c r="X29" s="40"/>
      <c r="Y29" s="40"/>
      <c r="Z29" s="40"/>
      <c r="AA29" s="40"/>
      <c r="AB29" s="40"/>
      <c r="AC29" s="40"/>
      <c r="AD29" s="40"/>
      <c r="AE29" s="40"/>
      <c r="AF29" s="40"/>
      <c r="AG29" s="40"/>
      <c r="AH29" s="40"/>
      <c r="AI29" s="40"/>
    </row>
    <row r="30" ht="77.25" customHeight="1">
      <c r="A30" s="35" t="s">
        <v>538</v>
      </c>
      <c r="B30" s="36" t="s">
        <v>1086</v>
      </c>
      <c r="C30" s="35" t="s">
        <v>1087</v>
      </c>
      <c r="D30" s="35" t="s">
        <v>1088</v>
      </c>
      <c r="E30" s="35" t="s">
        <v>1175</v>
      </c>
      <c r="F30" s="37"/>
      <c r="G30" s="37" t="s">
        <v>1116</v>
      </c>
      <c r="H30" s="37" t="s">
        <v>1139</v>
      </c>
      <c r="I30" s="37" t="s">
        <v>1176</v>
      </c>
      <c r="J30" s="38"/>
      <c r="K30" s="38"/>
      <c r="L30" s="39"/>
      <c r="M30" s="39"/>
      <c r="N30" s="39"/>
      <c r="O30" s="39"/>
      <c r="P30" s="38" t="s">
        <v>1098</v>
      </c>
      <c r="Q30" s="39"/>
      <c r="R30" s="36"/>
      <c r="S30" s="36"/>
      <c r="T30" s="36"/>
      <c r="U30" s="38"/>
      <c r="V30" s="36"/>
      <c r="W30" s="37"/>
      <c r="X30" s="40"/>
      <c r="Y30" s="40"/>
      <c r="Z30" s="40"/>
      <c r="AA30" s="40"/>
      <c r="AB30" s="40"/>
      <c r="AC30" s="40"/>
      <c r="AD30" s="40"/>
      <c r="AE30" s="40"/>
      <c r="AF30" s="40"/>
      <c r="AG30" s="40"/>
      <c r="AH30" s="40"/>
      <c r="AI30" s="40"/>
    </row>
    <row r="31" ht="47.25" customHeight="1">
      <c r="A31" s="35" t="s">
        <v>538</v>
      </c>
      <c r="B31" s="36" t="s">
        <v>1086</v>
      </c>
      <c r="C31" s="35" t="s">
        <v>1087</v>
      </c>
      <c r="D31" s="35" t="s">
        <v>1088</v>
      </c>
      <c r="E31" s="35" t="s">
        <v>1177</v>
      </c>
      <c r="F31" s="37"/>
      <c r="G31" s="36" t="s">
        <v>1089</v>
      </c>
      <c r="H31" s="38" t="s">
        <v>1157</v>
      </c>
      <c r="I31" s="38" t="s">
        <v>1178</v>
      </c>
      <c r="J31" s="38" t="s">
        <v>1179</v>
      </c>
      <c r="K31" s="38"/>
      <c r="L31" s="39">
        <v>0.0</v>
      </c>
      <c r="M31" s="39">
        <v>0.0</v>
      </c>
      <c r="N31" s="39">
        <v>0.0</v>
      </c>
      <c r="O31" s="39">
        <f t="shared" ref="O31:O33" si="6">M31+N31</f>
        <v>0</v>
      </c>
      <c r="P31" s="47"/>
      <c r="Q31" s="36"/>
      <c r="R31" s="36" t="s">
        <v>1099</v>
      </c>
      <c r="S31" s="36" t="s">
        <v>1105</v>
      </c>
      <c r="T31" s="38" t="s">
        <v>1112</v>
      </c>
      <c r="U31" s="36" t="str">
        <f>IFS(
    Q31="No Funding Goal","Not Included",
    Q31="Not Applicable","Not Included",
    Q31&gt;=0.75,"1. Easy",
    AND(Q31&lt;0.75,Q31&gt;=0.5),"2. Moderate",
    Q31&lt;0.5,"3. Difficult"
)</f>
        <v>3. Difficult</v>
      </c>
      <c r="V31" s="36"/>
      <c r="W31" s="37"/>
      <c r="X31" s="40"/>
      <c r="Y31" s="40"/>
      <c r="Z31" s="40"/>
      <c r="AA31" s="40"/>
      <c r="AB31" s="40"/>
      <c r="AC31" s="40"/>
      <c r="AD31" s="40"/>
      <c r="AE31" s="40"/>
      <c r="AF31" s="40"/>
      <c r="AG31" s="40"/>
      <c r="AH31" s="40"/>
      <c r="AI31" s="40"/>
    </row>
    <row r="32" ht="15.75" customHeight="1">
      <c r="A32" s="35" t="s">
        <v>538</v>
      </c>
      <c r="B32" s="36" t="s">
        <v>1086</v>
      </c>
      <c r="C32" s="35" t="s">
        <v>1087</v>
      </c>
      <c r="D32" s="35" t="s">
        <v>1088</v>
      </c>
      <c r="E32" s="36" t="s">
        <v>1180</v>
      </c>
      <c r="F32" s="37"/>
      <c r="G32" s="36" t="s">
        <v>1089</v>
      </c>
      <c r="H32" s="37" t="s">
        <v>1157</v>
      </c>
      <c r="I32" s="37" t="s">
        <v>1181</v>
      </c>
      <c r="J32" s="38" t="s">
        <v>1060</v>
      </c>
      <c r="K32" s="38"/>
      <c r="L32" s="42">
        <v>0.0</v>
      </c>
      <c r="M32" s="39">
        <v>0.0</v>
      </c>
      <c r="N32" s="39">
        <v>0.0</v>
      </c>
      <c r="O32" s="39">
        <f t="shared" si="6"/>
        <v>0</v>
      </c>
      <c r="P32" s="36">
        <f t="shared" ref="P32:P33" si="7">IF(AND((M32+N32)&gt;0,L32=0),"1",IF(AND((M32+N32)=0,L32=0),0,(M32+N32)/L32))</f>
        <v>0</v>
      </c>
      <c r="Q32" s="36"/>
      <c r="R32" s="36" t="s">
        <v>1182</v>
      </c>
      <c r="S32" s="36" t="s">
        <v>1105</v>
      </c>
      <c r="T32" s="38" t="s">
        <v>1112</v>
      </c>
      <c r="U32" s="36" t="str">
        <f t="shared" ref="U32:U33" si="8">IFS(
    P32="No Funding Goal","Not Included",
    P32="Not Applicable","Not Included",
    P32&gt;=0.75,"1. Easy",
    AND(P32&lt;0.75,P32&gt;=0.5),"2. Moderate",
    P32&lt;0.5,"3. Difficult"
)</f>
        <v>3. Difficult</v>
      </c>
      <c r="V32" s="36"/>
      <c r="W32" s="37"/>
      <c r="X32" s="40"/>
      <c r="Y32" s="40"/>
      <c r="Z32" s="40"/>
      <c r="AA32" s="40"/>
      <c r="AB32" s="40"/>
      <c r="AC32" s="40"/>
      <c r="AD32" s="40"/>
      <c r="AE32" s="40"/>
      <c r="AF32" s="40"/>
      <c r="AG32" s="40"/>
      <c r="AH32" s="40"/>
      <c r="AI32" s="40"/>
    </row>
    <row r="33" ht="108.75" customHeight="1">
      <c r="A33" s="35" t="s">
        <v>538</v>
      </c>
      <c r="B33" s="36" t="s">
        <v>1086</v>
      </c>
      <c r="C33" s="35" t="s">
        <v>1087</v>
      </c>
      <c r="D33" s="35" t="s">
        <v>1088</v>
      </c>
      <c r="E33" s="35" t="s">
        <v>1183</v>
      </c>
      <c r="F33" s="37"/>
      <c r="G33" s="36" t="s">
        <v>1089</v>
      </c>
      <c r="H33" s="37" t="s">
        <v>1157</v>
      </c>
      <c r="I33" s="37" t="s">
        <v>1181</v>
      </c>
      <c r="J33" s="38" t="s">
        <v>1184</v>
      </c>
      <c r="K33" s="38"/>
      <c r="L33" s="42">
        <v>0.0</v>
      </c>
      <c r="M33" s="39">
        <v>0.0</v>
      </c>
      <c r="N33" s="39">
        <v>0.0</v>
      </c>
      <c r="O33" s="39">
        <f t="shared" si="6"/>
        <v>0</v>
      </c>
      <c r="P33" s="36">
        <f t="shared" si="7"/>
        <v>0</v>
      </c>
      <c r="Q33" s="36"/>
      <c r="R33" s="36" t="s">
        <v>1185</v>
      </c>
      <c r="S33" s="36" t="s">
        <v>1105</v>
      </c>
      <c r="T33" s="38" t="s">
        <v>1112</v>
      </c>
      <c r="U33" s="36" t="str">
        <f t="shared" si="8"/>
        <v>3. Difficult</v>
      </c>
      <c r="V33" s="36"/>
      <c r="W33" s="37"/>
      <c r="X33" s="40"/>
      <c r="Y33" s="40"/>
      <c r="Z33" s="40"/>
      <c r="AA33" s="40"/>
      <c r="AB33" s="40"/>
      <c r="AC33" s="40"/>
      <c r="AD33" s="40"/>
      <c r="AE33" s="40"/>
      <c r="AF33" s="40"/>
      <c r="AG33" s="40"/>
      <c r="AH33" s="40"/>
      <c r="AI33" s="40"/>
    </row>
    <row r="34" ht="15.75" customHeight="1">
      <c r="A34" s="35" t="s">
        <v>538</v>
      </c>
      <c r="B34" s="36" t="s">
        <v>1086</v>
      </c>
      <c r="C34" s="35" t="s">
        <v>1087</v>
      </c>
      <c r="D34" s="35" t="s">
        <v>1088</v>
      </c>
      <c r="E34" s="36" t="s">
        <v>1186</v>
      </c>
      <c r="F34" s="37"/>
      <c r="G34" s="37" t="s">
        <v>1116</v>
      </c>
      <c r="H34" s="37" t="s">
        <v>1139</v>
      </c>
      <c r="I34" s="37" t="s">
        <v>1187</v>
      </c>
      <c r="J34" s="38"/>
      <c r="K34" s="38"/>
      <c r="L34" s="39"/>
      <c r="M34" s="39"/>
      <c r="N34" s="39"/>
      <c r="O34" s="39"/>
      <c r="P34" s="38" t="s">
        <v>1098</v>
      </c>
      <c r="Q34" s="39"/>
      <c r="R34" s="36"/>
      <c r="S34" s="36"/>
      <c r="T34" s="36"/>
      <c r="U34" s="38"/>
      <c r="V34" s="36"/>
      <c r="W34" s="37"/>
      <c r="X34" s="40"/>
      <c r="Y34" s="40"/>
      <c r="Z34" s="40"/>
      <c r="AA34" s="40"/>
      <c r="AB34" s="40"/>
      <c r="AC34" s="40"/>
      <c r="AD34" s="40"/>
      <c r="AE34" s="40"/>
      <c r="AF34" s="40"/>
      <c r="AG34" s="40"/>
      <c r="AH34" s="40"/>
      <c r="AI34" s="40"/>
    </row>
    <row r="35" ht="102.0" customHeight="1">
      <c r="A35" s="35" t="s">
        <v>538</v>
      </c>
      <c r="B35" s="36" t="s">
        <v>1086</v>
      </c>
      <c r="C35" s="35" t="s">
        <v>1087</v>
      </c>
      <c r="D35" s="35" t="s">
        <v>1088</v>
      </c>
      <c r="E35" s="36" t="s">
        <v>1188</v>
      </c>
      <c r="F35" s="36" t="s">
        <v>1188</v>
      </c>
      <c r="G35" s="36" t="s">
        <v>1089</v>
      </c>
      <c r="H35" s="37" t="s">
        <v>1162</v>
      </c>
      <c r="I35" s="37" t="s">
        <v>1189</v>
      </c>
      <c r="J35" s="38" t="s">
        <v>1190</v>
      </c>
      <c r="K35" s="38"/>
      <c r="L35" s="39"/>
      <c r="M35" s="39"/>
      <c r="N35" s="39"/>
      <c r="O35" s="39">
        <f t="shared" ref="O35:O43" si="9">M35+N35</f>
        <v>0</v>
      </c>
      <c r="P35" s="38" t="s">
        <v>1098</v>
      </c>
      <c r="Q35" s="38"/>
      <c r="R35" s="38" t="s">
        <v>1092</v>
      </c>
      <c r="S35" s="36" t="s">
        <v>1105</v>
      </c>
      <c r="T35" s="38" t="s">
        <v>1112</v>
      </c>
      <c r="U35" s="36" t="str">
        <f t="shared" ref="U35:U43" si="10">IFS(
    P35="No Funding Goal","Not Included",
    P35="Not Applicable","Not Included",
    P35&gt;=0.75,"1. Easy",
    AND(P35&lt;0.75,P35&gt;=0.5),"2. Moderate",
    P35&lt;0.5,"3. Difficult"
)</f>
        <v>Not Included</v>
      </c>
      <c r="V35" s="36"/>
      <c r="W35" s="37"/>
      <c r="X35" s="40"/>
      <c r="Y35" s="40"/>
      <c r="Z35" s="40"/>
      <c r="AA35" s="40"/>
      <c r="AB35" s="40"/>
      <c r="AC35" s="40"/>
      <c r="AD35" s="40"/>
      <c r="AE35" s="40"/>
      <c r="AF35" s="40"/>
      <c r="AG35" s="40"/>
      <c r="AH35" s="40"/>
      <c r="AI35" s="40"/>
    </row>
    <row r="36" ht="15.75" customHeight="1">
      <c r="A36" s="35" t="s">
        <v>538</v>
      </c>
      <c r="B36" s="36" t="s">
        <v>1086</v>
      </c>
      <c r="C36" s="35" t="s">
        <v>1087</v>
      </c>
      <c r="D36" s="35" t="s">
        <v>1088</v>
      </c>
      <c r="E36" s="36" t="s">
        <v>1191</v>
      </c>
      <c r="F36" s="36" t="s">
        <v>1191</v>
      </c>
      <c r="G36" s="36" t="s">
        <v>1089</v>
      </c>
      <c r="H36" s="52" t="s">
        <v>1192</v>
      </c>
      <c r="I36" s="52" t="s">
        <v>1193</v>
      </c>
      <c r="J36" s="36"/>
      <c r="K36" s="36"/>
      <c r="L36" s="39"/>
      <c r="M36" s="39"/>
      <c r="N36" s="39"/>
      <c r="O36" s="39">
        <f t="shared" si="9"/>
        <v>0</v>
      </c>
      <c r="P36" s="38" t="s">
        <v>1098</v>
      </c>
      <c r="Q36" s="36"/>
      <c r="R36" s="36" t="s">
        <v>1194</v>
      </c>
      <c r="S36" s="36" t="s">
        <v>1105</v>
      </c>
      <c r="T36" s="38" t="s">
        <v>1094</v>
      </c>
      <c r="U36" s="36" t="str">
        <f t="shared" si="10"/>
        <v>Not Included</v>
      </c>
      <c r="V36" s="36"/>
      <c r="W36" s="52"/>
      <c r="X36" s="40"/>
      <c r="Y36" s="40"/>
      <c r="Z36" s="40"/>
      <c r="AA36" s="40"/>
      <c r="AB36" s="40"/>
      <c r="AC36" s="40"/>
      <c r="AD36" s="40"/>
      <c r="AE36" s="40"/>
      <c r="AF36" s="40"/>
      <c r="AG36" s="40"/>
      <c r="AH36" s="40"/>
      <c r="AI36" s="40"/>
    </row>
    <row r="37" ht="15.75" customHeight="1">
      <c r="A37" s="35" t="s">
        <v>538</v>
      </c>
      <c r="B37" s="36" t="s">
        <v>1086</v>
      </c>
      <c r="C37" s="35" t="s">
        <v>1087</v>
      </c>
      <c r="D37" s="35" t="s">
        <v>1088</v>
      </c>
      <c r="E37" s="35" t="s">
        <v>1195</v>
      </c>
      <c r="F37" s="36" t="s">
        <v>1196</v>
      </c>
      <c r="G37" s="36" t="s">
        <v>1089</v>
      </c>
      <c r="H37" s="52" t="s">
        <v>1192</v>
      </c>
      <c r="I37" s="52" t="s">
        <v>1197</v>
      </c>
      <c r="J37" s="36"/>
      <c r="K37" s="36"/>
      <c r="L37" s="39"/>
      <c r="M37" s="39"/>
      <c r="N37" s="39"/>
      <c r="O37" s="39">
        <f t="shared" si="9"/>
        <v>0</v>
      </c>
      <c r="P37" s="38" t="s">
        <v>1098</v>
      </c>
      <c r="Q37" s="36"/>
      <c r="R37" s="36" t="s">
        <v>1194</v>
      </c>
      <c r="S37" s="36" t="s">
        <v>1105</v>
      </c>
      <c r="T37" s="38" t="s">
        <v>1094</v>
      </c>
      <c r="U37" s="36" t="str">
        <f t="shared" si="10"/>
        <v>Not Included</v>
      </c>
      <c r="V37" s="36"/>
      <c r="W37" s="52"/>
      <c r="X37" s="40"/>
      <c r="Y37" s="40"/>
      <c r="Z37" s="40"/>
      <c r="AA37" s="40"/>
      <c r="AB37" s="40"/>
      <c r="AC37" s="40"/>
      <c r="AD37" s="40"/>
      <c r="AE37" s="40"/>
      <c r="AF37" s="40"/>
      <c r="AG37" s="40"/>
      <c r="AH37" s="40"/>
      <c r="AI37" s="40"/>
    </row>
    <row r="38" ht="92.25" customHeight="1">
      <c r="A38" s="36" t="s">
        <v>538</v>
      </c>
      <c r="B38" s="36" t="s">
        <v>1086</v>
      </c>
      <c r="C38" s="35" t="s">
        <v>1087</v>
      </c>
      <c r="D38" s="35" t="s">
        <v>1088</v>
      </c>
      <c r="E38" s="36" t="s">
        <v>630</v>
      </c>
      <c r="F38" s="36" t="s">
        <v>630</v>
      </c>
      <c r="G38" s="36" t="s">
        <v>1089</v>
      </c>
      <c r="H38" s="37" t="s">
        <v>1117</v>
      </c>
      <c r="I38" s="37" t="s">
        <v>646</v>
      </c>
      <c r="J38" s="38" t="s">
        <v>1198</v>
      </c>
      <c r="K38" s="38"/>
      <c r="L38" s="42"/>
      <c r="M38" s="42"/>
      <c r="N38" s="42"/>
      <c r="O38" s="39">
        <f t="shared" si="9"/>
        <v>0</v>
      </c>
      <c r="P38" s="38" t="s">
        <v>1098</v>
      </c>
      <c r="Q38" s="38"/>
      <c r="R38" s="38" t="s">
        <v>1152</v>
      </c>
      <c r="S38" s="38" t="s">
        <v>1093</v>
      </c>
      <c r="T38" s="36" t="s">
        <v>1112</v>
      </c>
      <c r="U38" s="36" t="str">
        <f t="shared" si="10"/>
        <v>Not Included</v>
      </c>
      <c r="V38" s="38" t="s">
        <v>1199</v>
      </c>
      <c r="W38" s="38" t="s">
        <v>1108</v>
      </c>
      <c r="AI38" s="53"/>
    </row>
    <row r="39" ht="15.75" customHeight="1">
      <c r="A39" s="35" t="s">
        <v>538</v>
      </c>
      <c r="B39" s="36" t="s">
        <v>1086</v>
      </c>
      <c r="C39" s="35" t="s">
        <v>1087</v>
      </c>
      <c r="D39" s="35" t="s">
        <v>1088</v>
      </c>
      <c r="E39" s="36" t="s">
        <v>1200</v>
      </c>
      <c r="F39" s="36" t="s">
        <v>1201</v>
      </c>
      <c r="G39" s="36" t="s">
        <v>1089</v>
      </c>
      <c r="H39" s="37" t="s">
        <v>1117</v>
      </c>
      <c r="I39" s="37" t="s">
        <v>112</v>
      </c>
      <c r="J39" s="37" t="s">
        <v>1202</v>
      </c>
      <c r="K39" s="38"/>
      <c r="L39" s="39"/>
      <c r="M39" s="39"/>
      <c r="N39" s="39"/>
      <c r="O39" s="39">
        <f t="shared" si="9"/>
        <v>0</v>
      </c>
      <c r="P39" s="38" t="s">
        <v>1098</v>
      </c>
      <c r="Q39" s="38"/>
      <c r="R39" s="36" t="s">
        <v>1203</v>
      </c>
      <c r="S39" s="36" t="s">
        <v>1105</v>
      </c>
      <c r="T39" s="36" t="s">
        <v>1112</v>
      </c>
      <c r="U39" s="36" t="str">
        <f t="shared" si="10"/>
        <v>Not Included</v>
      </c>
      <c r="V39" s="36"/>
      <c r="W39" s="37"/>
      <c r="X39" s="40"/>
      <c r="Y39" s="40"/>
      <c r="Z39" s="40"/>
      <c r="AA39" s="40"/>
      <c r="AB39" s="40"/>
      <c r="AC39" s="40"/>
      <c r="AD39" s="40"/>
      <c r="AE39" s="40"/>
      <c r="AF39" s="40"/>
      <c r="AG39" s="40"/>
      <c r="AH39" s="40"/>
      <c r="AI39" s="40"/>
    </row>
    <row r="40" ht="15.75" customHeight="1">
      <c r="A40" s="36" t="s">
        <v>538</v>
      </c>
      <c r="B40" s="36" t="s">
        <v>1086</v>
      </c>
      <c r="C40" s="35" t="s">
        <v>1087</v>
      </c>
      <c r="D40" s="35" t="s">
        <v>1088</v>
      </c>
      <c r="E40" s="36" t="s">
        <v>684</v>
      </c>
      <c r="F40" s="36" t="s">
        <v>684</v>
      </c>
      <c r="G40" s="36" t="s">
        <v>1089</v>
      </c>
      <c r="H40" s="38" t="s">
        <v>1117</v>
      </c>
      <c r="I40" s="38" t="s">
        <v>1204</v>
      </c>
      <c r="J40" s="38" t="s">
        <v>1205</v>
      </c>
      <c r="K40" s="38"/>
      <c r="L40" s="42"/>
      <c r="M40" s="42"/>
      <c r="N40" s="42"/>
      <c r="O40" s="39">
        <f t="shared" si="9"/>
        <v>0</v>
      </c>
      <c r="P40" s="38" t="s">
        <v>1098</v>
      </c>
      <c r="Q40" s="38"/>
      <c r="R40" s="37" t="s">
        <v>1206</v>
      </c>
      <c r="S40" s="38" t="s">
        <v>1105</v>
      </c>
      <c r="T40" s="36" t="s">
        <v>1112</v>
      </c>
      <c r="U40" s="36" t="str">
        <f t="shared" si="10"/>
        <v>Not Included</v>
      </c>
      <c r="V40" s="38" t="s">
        <v>1207</v>
      </c>
      <c r="W40" s="38" t="s">
        <v>1108</v>
      </c>
    </row>
    <row r="41" ht="75.75" customHeight="1">
      <c r="A41" s="35" t="s">
        <v>538</v>
      </c>
      <c r="B41" s="36" t="s">
        <v>1086</v>
      </c>
      <c r="C41" s="35" t="s">
        <v>1087</v>
      </c>
      <c r="D41" s="35" t="s">
        <v>1088</v>
      </c>
      <c r="E41" s="35" t="s">
        <v>1208</v>
      </c>
      <c r="F41" s="36" t="s">
        <v>1209</v>
      </c>
      <c r="G41" s="36" t="s">
        <v>1089</v>
      </c>
      <c r="H41" s="37" t="s">
        <v>1117</v>
      </c>
      <c r="I41" s="37" t="s">
        <v>112</v>
      </c>
      <c r="J41" s="38" t="s">
        <v>1210</v>
      </c>
      <c r="K41" s="38"/>
      <c r="L41" s="39"/>
      <c r="M41" s="39"/>
      <c r="N41" s="39"/>
      <c r="O41" s="39">
        <f t="shared" si="9"/>
        <v>0</v>
      </c>
      <c r="P41" s="38" t="s">
        <v>1098</v>
      </c>
      <c r="Q41" s="38"/>
      <c r="R41" s="36" t="s">
        <v>1211</v>
      </c>
      <c r="S41" s="36" t="s">
        <v>1105</v>
      </c>
      <c r="T41" s="36" t="s">
        <v>1112</v>
      </c>
      <c r="U41" s="36" t="str">
        <f t="shared" si="10"/>
        <v>Not Included</v>
      </c>
      <c r="V41" s="36"/>
      <c r="W41" s="37"/>
      <c r="X41" s="40"/>
      <c r="Y41" s="40"/>
      <c r="Z41" s="40"/>
      <c r="AA41" s="40"/>
      <c r="AB41" s="40"/>
      <c r="AC41" s="40"/>
      <c r="AD41" s="40"/>
      <c r="AE41" s="40"/>
      <c r="AF41" s="40"/>
      <c r="AG41" s="40"/>
      <c r="AH41" s="40"/>
      <c r="AI41" s="40"/>
    </row>
    <row r="42" ht="15.75" customHeight="1">
      <c r="A42" s="35" t="s">
        <v>538</v>
      </c>
      <c r="B42" s="36" t="s">
        <v>1086</v>
      </c>
      <c r="C42" s="35" t="s">
        <v>1087</v>
      </c>
      <c r="D42" s="35" t="s">
        <v>1088</v>
      </c>
      <c r="E42" s="36" t="s">
        <v>1212</v>
      </c>
      <c r="F42" s="36" t="s">
        <v>1212</v>
      </c>
      <c r="G42" s="36" t="s">
        <v>1089</v>
      </c>
      <c r="H42" s="37" t="s">
        <v>1117</v>
      </c>
      <c r="I42" s="37" t="s">
        <v>1213</v>
      </c>
      <c r="J42" s="38"/>
      <c r="K42" s="38"/>
      <c r="L42" s="39"/>
      <c r="M42" s="39"/>
      <c r="N42" s="39"/>
      <c r="O42" s="39">
        <f t="shared" si="9"/>
        <v>0</v>
      </c>
      <c r="P42" s="38" t="s">
        <v>1098</v>
      </c>
      <c r="Q42" s="38"/>
      <c r="R42" s="36" t="s">
        <v>1206</v>
      </c>
      <c r="S42" s="36" t="s">
        <v>1105</v>
      </c>
      <c r="T42" s="36" t="s">
        <v>1112</v>
      </c>
      <c r="U42" s="36" t="str">
        <f t="shared" si="10"/>
        <v>Not Included</v>
      </c>
      <c r="V42" s="36"/>
      <c r="W42" s="37"/>
      <c r="X42" s="40"/>
      <c r="Y42" s="40"/>
      <c r="Z42" s="40"/>
      <c r="AA42" s="40"/>
      <c r="AB42" s="40"/>
      <c r="AC42" s="40"/>
      <c r="AD42" s="40"/>
      <c r="AE42" s="40"/>
      <c r="AF42" s="40"/>
      <c r="AG42" s="40"/>
      <c r="AH42" s="40"/>
      <c r="AI42" s="40"/>
    </row>
    <row r="43" ht="81.0" customHeight="1">
      <c r="A43" s="36" t="s">
        <v>538</v>
      </c>
      <c r="B43" s="36" t="s">
        <v>1086</v>
      </c>
      <c r="C43" s="35" t="s">
        <v>1087</v>
      </c>
      <c r="D43" s="35" t="s">
        <v>1088</v>
      </c>
      <c r="E43" s="36" t="s">
        <v>655</v>
      </c>
      <c r="F43" s="36" t="s">
        <v>655</v>
      </c>
      <c r="G43" s="36" t="s">
        <v>1089</v>
      </c>
      <c r="H43" s="38" t="s">
        <v>1117</v>
      </c>
      <c r="I43" s="38" t="s">
        <v>1214</v>
      </c>
      <c r="J43" s="38" t="s">
        <v>1215</v>
      </c>
      <c r="K43" s="38"/>
      <c r="L43" s="42"/>
      <c r="M43" s="42"/>
      <c r="N43" s="42"/>
      <c r="O43" s="39">
        <f t="shared" si="9"/>
        <v>0</v>
      </c>
      <c r="P43" s="38" t="s">
        <v>1098</v>
      </c>
      <c r="Q43" s="38"/>
      <c r="R43" s="37" t="s">
        <v>1216</v>
      </c>
      <c r="S43" s="38" t="s">
        <v>1105</v>
      </c>
      <c r="T43" s="36" t="s">
        <v>1112</v>
      </c>
      <c r="U43" s="36" t="str">
        <f t="shared" si="10"/>
        <v>Not Included</v>
      </c>
      <c r="V43" s="38" t="s">
        <v>1207</v>
      </c>
      <c r="W43" s="38" t="s">
        <v>1108</v>
      </c>
    </row>
    <row r="44" ht="15.75" customHeight="1">
      <c r="A44" s="45" t="s">
        <v>538</v>
      </c>
      <c r="B44" s="45" t="s">
        <v>1086</v>
      </c>
      <c r="C44" s="35" t="s">
        <v>1087</v>
      </c>
      <c r="D44" s="35" t="s">
        <v>1088</v>
      </c>
      <c r="E44" s="46" t="s">
        <v>737</v>
      </c>
      <c r="F44" s="46" t="s">
        <v>737</v>
      </c>
      <c r="G44" s="36" t="s">
        <v>1116</v>
      </c>
      <c r="H44" s="8" t="s">
        <v>1139</v>
      </c>
      <c r="I44" s="8" t="s">
        <v>1217</v>
      </c>
      <c r="J44" s="47"/>
      <c r="K44" s="47"/>
      <c r="L44" s="47"/>
      <c r="M44" s="47"/>
      <c r="N44" s="47"/>
      <c r="O44" s="47"/>
      <c r="P44" s="38" t="s">
        <v>1098</v>
      </c>
      <c r="Q44" s="47"/>
      <c r="R44" s="8"/>
      <c r="S44" s="40"/>
      <c r="T44" s="47"/>
      <c r="U44" s="47"/>
      <c r="V44" s="8"/>
      <c r="W44" s="8"/>
    </row>
    <row r="45" ht="66.75" customHeight="1">
      <c r="A45" s="36" t="s">
        <v>538</v>
      </c>
      <c r="B45" s="36" t="s">
        <v>1086</v>
      </c>
      <c r="C45" s="35" t="s">
        <v>1087</v>
      </c>
      <c r="D45" s="35" t="s">
        <v>1088</v>
      </c>
      <c r="E45" s="36" t="s">
        <v>666</v>
      </c>
      <c r="F45" s="36" t="s">
        <v>666</v>
      </c>
      <c r="G45" s="38" t="s">
        <v>1089</v>
      </c>
      <c r="H45" s="37" t="s">
        <v>1117</v>
      </c>
      <c r="I45" s="37" t="s">
        <v>1218</v>
      </c>
      <c r="J45" s="38"/>
      <c r="K45" s="38"/>
      <c r="L45" s="39"/>
      <c r="M45" s="39"/>
      <c r="N45" s="39"/>
      <c r="O45" s="39">
        <f t="shared" ref="O45:O50" si="11">M45+N45</f>
        <v>0</v>
      </c>
      <c r="P45" s="38" t="s">
        <v>1098</v>
      </c>
      <c r="Q45" s="36"/>
      <c r="R45" s="36" t="s">
        <v>1219</v>
      </c>
      <c r="S45" s="38" t="s">
        <v>1105</v>
      </c>
      <c r="T45" s="36" t="s">
        <v>1112</v>
      </c>
      <c r="U45" s="36" t="str">
        <f t="shared" ref="U45:U50" si="12">IFS(
    P45="No Funding Goal","Not Included",
    P45="Not Applicable","Not Included",
    P45&gt;=0.75,"1. Easy",
    AND(P45&lt;0.75,P45&gt;=0.5),"2. Moderate",
    P45&lt;0.5,"3. Difficult"
)</f>
        <v>Not Included</v>
      </c>
      <c r="V45" s="36" t="s">
        <v>1220</v>
      </c>
      <c r="W45" s="37" t="s">
        <v>1108</v>
      </c>
      <c r="AI45" s="43"/>
    </row>
    <row r="46" ht="15.75" customHeight="1">
      <c r="A46" s="35" t="s">
        <v>538</v>
      </c>
      <c r="B46" s="36" t="s">
        <v>1086</v>
      </c>
      <c r="C46" s="35" t="s">
        <v>1087</v>
      </c>
      <c r="D46" s="35" t="s">
        <v>1088</v>
      </c>
      <c r="E46" s="35" t="s">
        <v>1221</v>
      </c>
      <c r="F46" s="36" t="s">
        <v>1222</v>
      </c>
      <c r="G46" s="36" t="s">
        <v>1089</v>
      </c>
      <c r="H46" s="37" t="s">
        <v>1117</v>
      </c>
      <c r="I46" s="37" t="s">
        <v>1223</v>
      </c>
      <c r="J46" s="38"/>
      <c r="K46" s="38"/>
      <c r="L46" s="39"/>
      <c r="M46" s="39"/>
      <c r="N46" s="39"/>
      <c r="O46" s="39">
        <f t="shared" si="11"/>
        <v>0</v>
      </c>
      <c r="P46" s="38" t="s">
        <v>1098</v>
      </c>
      <c r="Q46" s="38"/>
      <c r="R46" s="36" t="s">
        <v>1099</v>
      </c>
      <c r="S46" s="36" t="s">
        <v>1105</v>
      </c>
      <c r="T46" s="36" t="s">
        <v>1112</v>
      </c>
      <c r="U46" s="36" t="str">
        <f t="shared" si="12"/>
        <v>Not Included</v>
      </c>
      <c r="V46" s="36"/>
      <c r="W46" s="37"/>
      <c r="X46" s="40"/>
      <c r="Y46" s="40"/>
      <c r="Z46" s="40"/>
      <c r="AA46" s="40"/>
      <c r="AB46" s="40"/>
      <c r="AC46" s="40"/>
      <c r="AD46" s="40"/>
      <c r="AE46" s="40"/>
      <c r="AF46" s="40"/>
      <c r="AG46" s="40"/>
      <c r="AH46" s="40"/>
      <c r="AI46" s="40"/>
    </row>
    <row r="47" ht="15.75" customHeight="1">
      <c r="A47" s="35" t="s">
        <v>538</v>
      </c>
      <c r="B47" s="36" t="s">
        <v>1086</v>
      </c>
      <c r="C47" s="35" t="s">
        <v>1087</v>
      </c>
      <c r="D47" s="35" t="s">
        <v>1088</v>
      </c>
      <c r="E47" s="35" t="s">
        <v>1224</v>
      </c>
      <c r="F47" s="36" t="s">
        <v>1225</v>
      </c>
      <c r="G47" s="36" t="s">
        <v>1089</v>
      </c>
      <c r="H47" s="37" t="s">
        <v>1117</v>
      </c>
      <c r="I47" s="37" t="s">
        <v>1226</v>
      </c>
      <c r="J47" s="38"/>
      <c r="K47" s="38"/>
      <c r="L47" s="39"/>
      <c r="M47" s="39"/>
      <c r="N47" s="39"/>
      <c r="O47" s="39">
        <f t="shared" si="11"/>
        <v>0</v>
      </c>
      <c r="P47" s="38" t="s">
        <v>1098</v>
      </c>
      <c r="Q47" s="38"/>
      <c r="R47" s="36" t="s">
        <v>1099</v>
      </c>
      <c r="S47" s="36" t="s">
        <v>1105</v>
      </c>
      <c r="T47" s="36" t="s">
        <v>1112</v>
      </c>
      <c r="U47" s="36" t="str">
        <f t="shared" si="12"/>
        <v>Not Included</v>
      </c>
      <c r="V47" s="36"/>
      <c r="W47" s="37"/>
      <c r="X47" s="40"/>
      <c r="Y47" s="40"/>
      <c r="Z47" s="40"/>
      <c r="AA47" s="40"/>
      <c r="AB47" s="40"/>
      <c r="AC47" s="40"/>
      <c r="AD47" s="40"/>
      <c r="AE47" s="40"/>
      <c r="AF47" s="40"/>
      <c r="AG47" s="40"/>
      <c r="AH47" s="40"/>
      <c r="AI47" s="40"/>
    </row>
    <row r="48" ht="72.0" customHeight="1">
      <c r="A48" s="35" t="s">
        <v>538</v>
      </c>
      <c r="B48" s="36" t="s">
        <v>1086</v>
      </c>
      <c r="C48" s="35" t="s">
        <v>1087</v>
      </c>
      <c r="D48" s="35" t="s">
        <v>1088</v>
      </c>
      <c r="E48" s="35" t="s">
        <v>1227</v>
      </c>
      <c r="F48" s="36" t="s">
        <v>1228</v>
      </c>
      <c r="G48" s="36" t="s">
        <v>1089</v>
      </c>
      <c r="H48" s="37" t="s">
        <v>1117</v>
      </c>
      <c r="I48" s="37" t="s">
        <v>1118</v>
      </c>
      <c r="J48" s="38" t="s">
        <v>1229</v>
      </c>
      <c r="K48" s="38"/>
      <c r="L48" s="39"/>
      <c r="M48" s="39"/>
      <c r="N48" s="39"/>
      <c r="O48" s="39">
        <f t="shared" si="11"/>
        <v>0</v>
      </c>
      <c r="P48" s="38" t="s">
        <v>1098</v>
      </c>
      <c r="Q48" s="38"/>
      <c r="R48" s="37" t="s">
        <v>1099</v>
      </c>
      <c r="S48" s="36" t="s">
        <v>1105</v>
      </c>
      <c r="T48" s="36" t="s">
        <v>1112</v>
      </c>
      <c r="U48" s="36" t="str">
        <f t="shared" si="12"/>
        <v>Not Included</v>
      </c>
      <c r="V48" s="36"/>
      <c r="W48" s="37"/>
      <c r="X48" s="40"/>
      <c r="Y48" s="40"/>
      <c r="Z48" s="40"/>
      <c r="AA48" s="40"/>
      <c r="AB48" s="40"/>
      <c r="AC48" s="40"/>
      <c r="AD48" s="40"/>
      <c r="AE48" s="40"/>
      <c r="AF48" s="40"/>
      <c r="AG48" s="40"/>
      <c r="AH48" s="40"/>
      <c r="AI48" s="40"/>
    </row>
    <row r="49" ht="98.25" customHeight="1">
      <c r="A49" s="35" t="s">
        <v>538</v>
      </c>
      <c r="B49" s="36" t="s">
        <v>1086</v>
      </c>
      <c r="C49" s="35" t="s">
        <v>1087</v>
      </c>
      <c r="D49" s="35" t="s">
        <v>1088</v>
      </c>
      <c r="E49" s="35" t="s">
        <v>1230</v>
      </c>
      <c r="F49" s="36" t="s">
        <v>1231</v>
      </c>
      <c r="G49" s="36" t="s">
        <v>1089</v>
      </c>
      <c r="H49" s="37" t="s">
        <v>1117</v>
      </c>
      <c r="I49" s="37" t="s">
        <v>1118</v>
      </c>
      <c r="J49" s="38" t="s">
        <v>1232</v>
      </c>
      <c r="K49" s="38"/>
      <c r="L49" s="39"/>
      <c r="M49" s="39"/>
      <c r="N49" s="39"/>
      <c r="O49" s="39">
        <f t="shared" si="11"/>
        <v>0</v>
      </c>
      <c r="P49" s="38" t="s">
        <v>1098</v>
      </c>
      <c r="Q49" s="38"/>
      <c r="R49" s="36" t="s">
        <v>1233</v>
      </c>
      <c r="S49" s="36" t="s">
        <v>1105</v>
      </c>
      <c r="T49" s="36" t="s">
        <v>1112</v>
      </c>
      <c r="U49" s="36" t="str">
        <f t="shared" si="12"/>
        <v>Not Included</v>
      </c>
      <c r="V49" s="36"/>
      <c r="W49" s="37"/>
      <c r="X49" s="40"/>
      <c r="Y49" s="40"/>
      <c r="Z49" s="40"/>
      <c r="AA49" s="40"/>
      <c r="AB49" s="40"/>
      <c r="AC49" s="40"/>
      <c r="AD49" s="40"/>
      <c r="AE49" s="40"/>
      <c r="AF49" s="40"/>
      <c r="AG49" s="40"/>
      <c r="AH49" s="40"/>
      <c r="AI49" s="40"/>
    </row>
    <row r="50" ht="15.75" customHeight="1">
      <c r="A50" s="35" t="s">
        <v>538</v>
      </c>
      <c r="B50" s="36" t="s">
        <v>1086</v>
      </c>
      <c r="C50" s="35" t="s">
        <v>1087</v>
      </c>
      <c r="D50" s="35" t="s">
        <v>1088</v>
      </c>
      <c r="E50" s="35" t="s">
        <v>1234</v>
      </c>
      <c r="F50" s="36" t="s">
        <v>1235</v>
      </c>
      <c r="G50" s="36" t="s">
        <v>1089</v>
      </c>
      <c r="H50" s="37" t="s">
        <v>1117</v>
      </c>
      <c r="I50" s="37" t="s">
        <v>1118</v>
      </c>
      <c r="J50" s="38" t="s">
        <v>1236</v>
      </c>
      <c r="K50" s="38"/>
      <c r="L50" s="39"/>
      <c r="M50" s="39"/>
      <c r="N50" s="39"/>
      <c r="O50" s="39">
        <f t="shared" si="11"/>
        <v>0</v>
      </c>
      <c r="P50" s="38" t="s">
        <v>1098</v>
      </c>
      <c r="Q50" s="38"/>
      <c r="R50" s="36" t="s">
        <v>1237</v>
      </c>
      <c r="S50" s="36" t="s">
        <v>1105</v>
      </c>
      <c r="T50" s="36" t="s">
        <v>1112</v>
      </c>
      <c r="U50" s="36" t="str">
        <f t="shared" si="12"/>
        <v>Not Included</v>
      </c>
      <c r="V50" s="36"/>
      <c r="W50" s="37"/>
      <c r="X50" s="40"/>
      <c r="Y50" s="40"/>
      <c r="Z50" s="40"/>
      <c r="AA50" s="40"/>
      <c r="AB50" s="40"/>
      <c r="AC50" s="40"/>
      <c r="AD50" s="40"/>
      <c r="AE50" s="40"/>
      <c r="AF50" s="40"/>
      <c r="AG50" s="40"/>
      <c r="AH50" s="40"/>
      <c r="AI50" s="40"/>
    </row>
    <row r="51" ht="67.5" customHeight="1">
      <c r="A51" s="36" t="s">
        <v>538</v>
      </c>
      <c r="B51" s="36" t="s">
        <v>1086</v>
      </c>
      <c r="C51" s="35" t="s">
        <v>1087</v>
      </c>
      <c r="D51" s="35" t="s">
        <v>1088</v>
      </c>
      <c r="E51" s="54" t="s">
        <v>981</v>
      </c>
      <c r="F51" s="54" t="s">
        <v>981</v>
      </c>
      <c r="G51" s="36" t="s">
        <v>1116</v>
      </c>
      <c r="H51" s="37" t="s">
        <v>1139</v>
      </c>
      <c r="I51" s="37" t="s">
        <v>1238</v>
      </c>
      <c r="J51" s="38"/>
      <c r="K51" s="38"/>
      <c r="L51" s="38"/>
      <c r="M51" s="38"/>
      <c r="N51" s="38"/>
      <c r="O51" s="38"/>
      <c r="P51" s="38"/>
      <c r="Q51" s="38"/>
      <c r="R51" s="37"/>
      <c r="S51" s="38"/>
      <c r="T51" s="38"/>
      <c r="U51" s="38"/>
      <c r="V51" s="37"/>
      <c r="W51" s="37"/>
      <c r="AI51" s="23"/>
    </row>
    <row r="52" ht="15.75" customHeight="1">
      <c r="A52" s="36" t="s">
        <v>538</v>
      </c>
      <c r="B52" s="36" t="s">
        <v>1086</v>
      </c>
      <c r="C52" s="35" t="s">
        <v>1087</v>
      </c>
      <c r="D52" s="35" t="s">
        <v>1088</v>
      </c>
      <c r="E52" s="36" t="s">
        <v>632</v>
      </c>
      <c r="F52" s="36" t="s">
        <v>632</v>
      </c>
      <c r="G52" s="36" t="s">
        <v>1089</v>
      </c>
      <c r="H52" s="37" t="s">
        <v>162</v>
      </c>
      <c r="I52" s="37" t="s">
        <v>1239</v>
      </c>
      <c r="J52" s="38"/>
      <c r="K52" s="38"/>
      <c r="L52" s="42"/>
      <c r="M52" s="42"/>
      <c r="N52" s="42"/>
      <c r="O52" s="39">
        <f t="shared" ref="O52:O67" si="13">M52+N52</f>
        <v>0</v>
      </c>
      <c r="P52" s="38" t="s">
        <v>1098</v>
      </c>
      <c r="Q52" s="38"/>
      <c r="R52" s="37" t="s">
        <v>1099</v>
      </c>
      <c r="S52" s="38" t="s">
        <v>1100</v>
      </c>
      <c r="T52" s="38" t="s">
        <v>1112</v>
      </c>
      <c r="U52" s="36" t="str">
        <f t="shared" ref="U52:U67" si="14">IFS(
    P52="No Funding Goal","Not Included",
    P52="Not Applicable","Not Included",
    P52&gt;=0.75,"1. Easy",
    AND(P52&lt;0.75,P52&gt;=0.5),"2. Moderate",
    P52&lt;0.5,"3. Difficult"
)</f>
        <v>Not Included</v>
      </c>
      <c r="V52" s="38" t="s">
        <v>1240</v>
      </c>
      <c r="W52" s="38" t="s">
        <v>1108</v>
      </c>
    </row>
    <row r="53" ht="15.75" customHeight="1">
      <c r="A53" s="36" t="s">
        <v>538</v>
      </c>
      <c r="B53" s="36" t="s">
        <v>1086</v>
      </c>
      <c r="C53" s="35" t="s">
        <v>1087</v>
      </c>
      <c r="D53" s="35" t="s">
        <v>1088</v>
      </c>
      <c r="E53" s="36" t="s">
        <v>564</v>
      </c>
      <c r="F53" s="36" t="s">
        <v>564</v>
      </c>
      <c r="G53" s="36" t="s">
        <v>1089</v>
      </c>
      <c r="H53" s="38" t="s">
        <v>153</v>
      </c>
      <c r="I53" s="38" t="s">
        <v>1241</v>
      </c>
      <c r="J53" s="38" t="s">
        <v>1242</v>
      </c>
      <c r="K53" s="38"/>
      <c r="L53" s="42"/>
      <c r="M53" s="42"/>
      <c r="N53" s="42">
        <v>7571428.57</v>
      </c>
      <c r="O53" s="39">
        <f t="shared" si="13"/>
        <v>7571428.57</v>
      </c>
      <c r="P53" s="35">
        <v>1.0</v>
      </c>
      <c r="Q53" s="36"/>
      <c r="R53" s="37" t="s">
        <v>1243</v>
      </c>
      <c r="S53" s="38" t="s">
        <v>1093</v>
      </c>
      <c r="T53" s="38" t="s">
        <v>1094</v>
      </c>
      <c r="U53" s="36" t="str">
        <f t="shared" si="14"/>
        <v>1. Easy</v>
      </c>
      <c r="V53" s="38"/>
      <c r="W53" s="38"/>
      <c r="X53" s="50"/>
      <c r="Y53" s="50"/>
      <c r="Z53" s="50"/>
      <c r="AA53" s="50"/>
      <c r="AB53" s="50"/>
      <c r="AC53" s="50"/>
      <c r="AD53" s="50"/>
      <c r="AE53" s="50"/>
      <c r="AF53" s="50"/>
      <c r="AG53" s="50"/>
      <c r="AH53" s="50"/>
    </row>
    <row r="54" ht="15.75" customHeight="1">
      <c r="A54" s="36" t="s">
        <v>538</v>
      </c>
      <c r="B54" s="36" t="s">
        <v>1086</v>
      </c>
      <c r="C54" s="35" t="s">
        <v>1087</v>
      </c>
      <c r="D54" s="35" t="s">
        <v>1088</v>
      </c>
      <c r="E54" s="36" t="s">
        <v>564</v>
      </c>
      <c r="F54" s="36" t="s">
        <v>564</v>
      </c>
      <c r="G54" s="36" t="s">
        <v>1089</v>
      </c>
      <c r="H54" s="38" t="s">
        <v>153</v>
      </c>
      <c r="I54" s="38" t="s">
        <v>1241</v>
      </c>
      <c r="J54" s="38" t="s">
        <v>1244</v>
      </c>
      <c r="K54" s="38"/>
      <c r="L54" s="42"/>
      <c r="M54" s="42"/>
      <c r="N54" s="42">
        <v>1080500.0</v>
      </c>
      <c r="O54" s="39">
        <f t="shared" si="13"/>
        <v>1080500</v>
      </c>
      <c r="P54" s="35">
        <v>1.0</v>
      </c>
      <c r="Q54" s="36"/>
      <c r="R54" s="37" t="s">
        <v>1243</v>
      </c>
      <c r="S54" s="38" t="s">
        <v>1093</v>
      </c>
      <c r="T54" s="38" t="s">
        <v>1094</v>
      </c>
      <c r="U54" s="36" t="str">
        <f t="shared" si="14"/>
        <v>1. Easy</v>
      </c>
      <c r="V54" s="38"/>
      <c r="W54" s="38"/>
      <c r="X54" s="50"/>
      <c r="Y54" s="50"/>
      <c r="Z54" s="50"/>
      <c r="AA54" s="50"/>
      <c r="AB54" s="50"/>
      <c r="AC54" s="50"/>
      <c r="AD54" s="50"/>
      <c r="AE54" s="50"/>
      <c r="AF54" s="50"/>
      <c r="AG54" s="50"/>
      <c r="AH54" s="50"/>
    </row>
    <row r="55" ht="15.75" customHeight="1">
      <c r="A55" s="36" t="s">
        <v>538</v>
      </c>
      <c r="B55" s="36" t="s">
        <v>1086</v>
      </c>
      <c r="C55" s="35" t="s">
        <v>1087</v>
      </c>
      <c r="D55" s="35" t="s">
        <v>1088</v>
      </c>
      <c r="E55" s="36" t="s">
        <v>549</v>
      </c>
      <c r="F55" s="36" t="s">
        <v>549</v>
      </c>
      <c r="G55" s="36" t="s">
        <v>1089</v>
      </c>
      <c r="H55" s="38" t="s">
        <v>153</v>
      </c>
      <c r="I55" s="38" t="s">
        <v>1174</v>
      </c>
      <c r="J55" s="38" t="s">
        <v>1245</v>
      </c>
      <c r="K55" s="38"/>
      <c r="L55" s="42"/>
      <c r="M55" s="42">
        <f>24878149-N55
</f>
        <v>7808449</v>
      </c>
      <c r="N55" s="42">
        <v>1.70697E7</v>
      </c>
      <c r="O55" s="39">
        <f t="shared" si="13"/>
        <v>24878149</v>
      </c>
      <c r="P55" s="35">
        <v>1.0</v>
      </c>
      <c r="Q55" s="36"/>
      <c r="R55" s="37" t="s">
        <v>1246</v>
      </c>
      <c r="S55" s="38" t="s">
        <v>1093</v>
      </c>
      <c r="T55" s="38" t="s">
        <v>1094</v>
      </c>
      <c r="U55" s="36" t="str">
        <f t="shared" si="14"/>
        <v>1. Easy</v>
      </c>
      <c r="V55" s="38"/>
      <c r="W55" s="38"/>
      <c r="X55" s="50"/>
      <c r="Y55" s="50"/>
      <c r="Z55" s="50"/>
      <c r="AA55" s="50"/>
      <c r="AB55" s="50"/>
      <c r="AC55" s="50"/>
      <c r="AD55" s="50"/>
      <c r="AE55" s="50"/>
      <c r="AF55" s="50"/>
      <c r="AG55" s="50"/>
      <c r="AH55" s="50"/>
    </row>
    <row r="56" ht="15.75" customHeight="1">
      <c r="A56" s="35" t="s">
        <v>538</v>
      </c>
      <c r="B56" s="36" t="s">
        <v>1086</v>
      </c>
      <c r="C56" s="35" t="s">
        <v>1087</v>
      </c>
      <c r="D56" s="35" t="s">
        <v>1088</v>
      </c>
      <c r="E56" s="35" t="s">
        <v>1247</v>
      </c>
      <c r="F56" s="36" t="s">
        <v>1248</v>
      </c>
      <c r="G56" s="36" t="s">
        <v>1089</v>
      </c>
      <c r="H56" s="37" t="s">
        <v>1117</v>
      </c>
      <c r="I56" s="37" t="s">
        <v>1249</v>
      </c>
      <c r="J56" s="38"/>
      <c r="K56" s="38"/>
      <c r="L56" s="39"/>
      <c r="M56" s="39"/>
      <c r="N56" s="39"/>
      <c r="O56" s="39">
        <f t="shared" si="13"/>
        <v>0</v>
      </c>
      <c r="P56" s="38" t="s">
        <v>1098</v>
      </c>
      <c r="Q56" s="38"/>
      <c r="R56" s="36" t="s">
        <v>1099</v>
      </c>
      <c r="S56" s="36" t="s">
        <v>1105</v>
      </c>
      <c r="T56" s="36" t="s">
        <v>1112</v>
      </c>
      <c r="U56" s="36" t="str">
        <f t="shared" si="14"/>
        <v>Not Included</v>
      </c>
      <c r="V56" s="36"/>
      <c r="W56" s="37"/>
      <c r="X56" s="40"/>
      <c r="Y56" s="40"/>
      <c r="Z56" s="40"/>
      <c r="AA56" s="40"/>
      <c r="AB56" s="40"/>
      <c r="AC56" s="40"/>
      <c r="AD56" s="40"/>
      <c r="AE56" s="40"/>
      <c r="AF56" s="40"/>
      <c r="AG56" s="40"/>
      <c r="AH56" s="40"/>
      <c r="AI56" s="40"/>
    </row>
    <row r="57" ht="15.75" customHeight="1">
      <c r="A57" s="36" t="s">
        <v>538</v>
      </c>
      <c r="B57" s="36" t="s">
        <v>1086</v>
      </c>
      <c r="C57" s="35" t="s">
        <v>1087</v>
      </c>
      <c r="D57" s="35" t="s">
        <v>1088</v>
      </c>
      <c r="E57" s="36" t="s">
        <v>566</v>
      </c>
      <c r="F57" s="36" t="s">
        <v>566</v>
      </c>
      <c r="G57" s="36" t="s">
        <v>1089</v>
      </c>
      <c r="H57" s="37" t="s">
        <v>153</v>
      </c>
      <c r="I57" s="37" t="s">
        <v>1250</v>
      </c>
      <c r="J57" s="42" t="s">
        <v>1251</v>
      </c>
      <c r="K57" s="42">
        <v>1000000.0</v>
      </c>
      <c r="L57" s="42">
        <v>1000000.0</v>
      </c>
      <c r="M57" s="42">
        <f>2164976+945100</f>
        <v>3110076</v>
      </c>
      <c r="N57" s="42">
        <f>53000+1729000</f>
        <v>1782000</v>
      </c>
      <c r="O57" s="39">
        <f t="shared" si="13"/>
        <v>4892076</v>
      </c>
      <c r="P57" s="36">
        <f>IF(AND((M57+N57)&gt;0,L57=0),"No Funding Goal",
   IF(AND((M57+N57)=0,L57=0),0,
      MIN((M57+N57)/L57,1)
   )
)
</f>
        <v>1</v>
      </c>
      <c r="Q57" s="36"/>
      <c r="R57" s="37" t="s">
        <v>1243</v>
      </c>
      <c r="S57" s="38" t="s">
        <v>1093</v>
      </c>
      <c r="T57" s="38" t="s">
        <v>1094</v>
      </c>
      <c r="U57" s="36" t="str">
        <f t="shared" si="14"/>
        <v>1. Easy</v>
      </c>
      <c r="V57" s="38"/>
      <c r="W57" s="38"/>
      <c r="X57" s="50"/>
      <c r="Y57" s="50"/>
      <c r="Z57" s="50"/>
      <c r="AA57" s="50"/>
      <c r="AB57" s="50"/>
      <c r="AC57" s="50"/>
      <c r="AD57" s="50"/>
      <c r="AE57" s="50"/>
      <c r="AF57" s="50"/>
      <c r="AG57" s="50"/>
      <c r="AH57" s="50"/>
      <c r="AI57" s="23"/>
    </row>
    <row r="58" ht="15.75" customHeight="1">
      <c r="A58" s="35" t="s">
        <v>538</v>
      </c>
      <c r="B58" s="36" t="s">
        <v>1086</v>
      </c>
      <c r="C58" s="35" t="s">
        <v>1087</v>
      </c>
      <c r="D58" s="35" t="s">
        <v>1088</v>
      </c>
      <c r="E58" s="36" t="s">
        <v>1252</v>
      </c>
      <c r="F58" s="36" t="s">
        <v>1252</v>
      </c>
      <c r="G58" s="36" t="s">
        <v>1089</v>
      </c>
      <c r="H58" s="37" t="s">
        <v>1117</v>
      </c>
      <c r="I58" s="37" t="s">
        <v>1253</v>
      </c>
      <c r="J58" s="38"/>
      <c r="K58" s="38"/>
      <c r="L58" s="39"/>
      <c r="M58" s="39"/>
      <c r="N58" s="39"/>
      <c r="O58" s="39">
        <f t="shared" si="13"/>
        <v>0</v>
      </c>
      <c r="P58" s="38" t="s">
        <v>1098</v>
      </c>
      <c r="Q58" s="38"/>
      <c r="R58" s="36" t="s">
        <v>1099</v>
      </c>
      <c r="S58" s="36" t="s">
        <v>1105</v>
      </c>
      <c r="T58" s="36" t="s">
        <v>1112</v>
      </c>
      <c r="U58" s="36" t="str">
        <f t="shared" si="14"/>
        <v>Not Included</v>
      </c>
      <c r="V58" s="36"/>
      <c r="W58" s="37"/>
      <c r="X58" s="40"/>
      <c r="Y58" s="40"/>
      <c r="Z58" s="40"/>
      <c r="AA58" s="40"/>
      <c r="AB58" s="40"/>
      <c r="AC58" s="40"/>
      <c r="AD58" s="40"/>
      <c r="AE58" s="40"/>
      <c r="AF58" s="40"/>
      <c r="AG58" s="40"/>
      <c r="AH58" s="40"/>
      <c r="AI58" s="40"/>
    </row>
    <row r="59" ht="15.75" customHeight="1">
      <c r="A59" s="36" t="s">
        <v>15</v>
      </c>
      <c r="B59" s="36" t="s">
        <v>1254</v>
      </c>
      <c r="C59" s="35" t="s">
        <v>1255</v>
      </c>
      <c r="D59" s="35" t="s">
        <v>1256</v>
      </c>
      <c r="E59" s="52" t="s">
        <v>51</v>
      </c>
      <c r="F59" s="52" t="s">
        <v>51</v>
      </c>
      <c r="G59" s="36" t="s">
        <v>1089</v>
      </c>
      <c r="H59" s="38" t="s">
        <v>1257</v>
      </c>
      <c r="I59" s="38" t="s">
        <v>1258</v>
      </c>
      <c r="J59" s="38"/>
      <c r="K59" s="38"/>
      <c r="L59" s="42"/>
      <c r="M59" s="42"/>
      <c r="N59" s="42">
        <v>138509.7</v>
      </c>
      <c r="O59" s="39">
        <f t="shared" si="13"/>
        <v>138509.7</v>
      </c>
      <c r="P59" s="36" t="str">
        <f t="shared" ref="P59:P62" si="15">IF(AND((M59+N59)&gt;0,L59=0),"1",IF(AND((M59+N59)=0,L59=0),0,(M59+N59)/L59))</f>
        <v>1</v>
      </c>
      <c r="Q59" s="36" t="s">
        <v>1259</v>
      </c>
      <c r="R59" s="36" t="s">
        <v>1243</v>
      </c>
      <c r="S59" s="38" t="s">
        <v>1105</v>
      </c>
      <c r="T59" s="36" t="s">
        <v>1112</v>
      </c>
      <c r="U59" s="36" t="str">
        <f t="shared" si="14"/>
        <v>1. Easy</v>
      </c>
      <c r="V59" s="36"/>
      <c r="W59" s="36" t="s">
        <v>1260</v>
      </c>
      <c r="Z59" s="55"/>
      <c r="AI59" s="53"/>
    </row>
    <row r="60" ht="15.75" customHeight="1">
      <c r="A60" s="36" t="s">
        <v>82</v>
      </c>
      <c r="B60" s="35" t="s">
        <v>1261</v>
      </c>
      <c r="C60" s="35" t="s">
        <v>1262</v>
      </c>
      <c r="D60" s="35" t="s">
        <v>1263</v>
      </c>
      <c r="E60" s="36" t="s">
        <v>1264</v>
      </c>
      <c r="F60" s="36" t="s">
        <v>1264</v>
      </c>
      <c r="G60" s="36" t="s">
        <v>1089</v>
      </c>
      <c r="H60" s="38" t="s">
        <v>1257</v>
      </c>
      <c r="I60" s="38" t="s">
        <v>1265</v>
      </c>
      <c r="J60" s="38" t="s">
        <v>1266</v>
      </c>
      <c r="K60" s="38"/>
      <c r="L60" s="56">
        <v>8835875.28</v>
      </c>
      <c r="M60" s="42">
        <f>8835875.28-N60</f>
        <v>2619513</v>
      </c>
      <c r="N60" s="42">
        <f>32487+6183875.28</f>
        <v>6216362.28</v>
      </c>
      <c r="O60" s="39">
        <f t="shared" si="13"/>
        <v>8835875.28</v>
      </c>
      <c r="P60" s="36">
        <f t="shared" si="15"/>
        <v>1</v>
      </c>
      <c r="Q60" s="36"/>
      <c r="R60" s="36" t="s">
        <v>1092</v>
      </c>
      <c r="S60" s="38" t="s">
        <v>1105</v>
      </c>
      <c r="T60" s="36" t="s">
        <v>1112</v>
      </c>
      <c r="U60" s="36" t="str">
        <f t="shared" si="14"/>
        <v>1. Easy</v>
      </c>
      <c r="V60" s="36" t="s">
        <v>1267</v>
      </c>
      <c r="W60" s="36" t="s">
        <v>1268</v>
      </c>
      <c r="Z60" s="55"/>
    </row>
    <row r="61" ht="96.75" customHeight="1">
      <c r="A61" s="36" t="s">
        <v>124</v>
      </c>
      <c r="B61" s="35" t="s">
        <v>1269</v>
      </c>
      <c r="C61" s="35" t="s">
        <v>1270</v>
      </c>
      <c r="D61" s="35" t="s">
        <v>1271</v>
      </c>
      <c r="E61" s="36" t="s">
        <v>1272</v>
      </c>
      <c r="F61" s="37"/>
      <c r="G61" s="38" t="s">
        <v>1089</v>
      </c>
      <c r="H61" s="38" t="s">
        <v>1257</v>
      </c>
      <c r="I61" s="38" t="s">
        <v>1258</v>
      </c>
      <c r="J61" s="38" t="s">
        <v>1273</v>
      </c>
      <c r="K61" s="38"/>
      <c r="L61" s="42"/>
      <c r="M61" s="42"/>
      <c r="N61" s="42">
        <v>19841.0</v>
      </c>
      <c r="O61" s="39">
        <f t="shared" si="13"/>
        <v>19841</v>
      </c>
      <c r="P61" s="36" t="str">
        <f t="shared" si="15"/>
        <v>1</v>
      </c>
      <c r="Q61" s="36"/>
      <c r="R61" s="36" t="s">
        <v>1274</v>
      </c>
      <c r="S61" s="38" t="s">
        <v>1105</v>
      </c>
      <c r="T61" s="36" t="s">
        <v>1112</v>
      </c>
      <c r="U61" s="36" t="str">
        <f t="shared" si="14"/>
        <v>1. Easy</v>
      </c>
      <c r="V61" s="36" t="s">
        <v>1275</v>
      </c>
      <c r="W61" s="36" t="s">
        <v>1268</v>
      </c>
      <c r="Z61" s="55"/>
      <c r="AI61" s="50"/>
    </row>
    <row r="62" ht="69.75" customHeight="1">
      <c r="A62" s="36" t="s">
        <v>321</v>
      </c>
      <c r="B62" s="35" t="s">
        <v>1276</v>
      </c>
      <c r="C62" s="35" t="s">
        <v>1277</v>
      </c>
      <c r="D62" s="35" t="s">
        <v>1278</v>
      </c>
      <c r="E62" s="36" t="s">
        <v>392</v>
      </c>
      <c r="F62" s="36" t="s">
        <v>393</v>
      </c>
      <c r="G62" s="36" t="s">
        <v>1089</v>
      </c>
      <c r="H62" s="38" t="s">
        <v>1257</v>
      </c>
      <c r="I62" s="38" t="s">
        <v>1265</v>
      </c>
      <c r="J62" s="38" t="s">
        <v>1279</v>
      </c>
      <c r="K62" s="38"/>
      <c r="L62" s="42"/>
      <c r="M62" s="42">
        <f>227500 + 
2794400 </f>
        <v>3021900</v>
      </c>
      <c r="N62" s="42">
        <v>2723000.0</v>
      </c>
      <c r="O62" s="39">
        <f t="shared" si="13"/>
        <v>5744900</v>
      </c>
      <c r="P62" s="36" t="str">
        <f t="shared" si="15"/>
        <v>1</v>
      </c>
      <c r="Q62" s="36"/>
      <c r="R62" s="38" t="s">
        <v>1246</v>
      </c>
      <c r="S62" s="38" t="s">
        <v>1105</v>
      </c>
      <c r="T62" s="36" t="s">
        <v>1112</v>
      </c>
      <c r="U62" s="36" t="str">
        <f t="shared" si="14"/>
        <v>1. Easy</v>
      </c>
      <c r="V62" s="38" t="s">
        <v>1280</v>
      </c>
      <c r="W62" s="38" t="s">
        <v>1281</v>
      </c>
    </row>
    <row r="63" ht="15.75" customHeight="1">
      <c r="A63" s="36" t="s">
        <v>321</v>
      </c>
      <c r="B63" s="35" t="s">
        <v>1276</v>
      </c>
      <c r="C63" s="35" t="s">
        <v>1277</v>
      </c>
      <c r="D63" s="35" t="s">
        <v>1278</v>
      </c>
      <c r="E63" s="36" t="s">
        <v>334</v>
      </c>
      <c r="F63" s="36" t="s">
        <v>334</v>
      </c>
      <c r="G63" s="36" t="s">
        <v>1089</v>
      </c>
      <c r="H63" s="38" t="s">
        <v>1257</v>
      </c>
      <c r="I63" s="38" t="s">
        <v>1265</v>
      </c>
      <c r="J63" s="38" t="s">
        <v>1282</v>
      </c>
      <c r="K63" s="38"/>
      <c r="L63" s="42"/>
      <c r="M63" s="42"/>
      <c r="N63" s="42"/>
      <c r="O63" s="39">
        <f t="shared" si="13"/>
        <v>0</v>
      </c>
      <c r="P63" s="36" t="s">
        <v>1098</v>
      </c>
      <c r="Q63" s="36"/>
      <c r="R63" s="38" t="s">
        <v>1246</v>
      </c>
      <c r="S63" s="38" t="s">
        <v>1105</v>
      </c>
      <c r="T63" s="38" t="s">
        <v>1094</v>
      </c>
      <c r="U63" s="36" t="str">
        <f t="shared" si="14"/>
        <v>Not Included</v>
      </c>
      <c r="V63" s="38" t="s">
        <v>1283</v>
      </c>
      <c r="W63" s="38" t="s">
        <v>1284</v>
      </c>
    </row>
    <row r="64" ht="15.75" customHeight="1">
      <c r="A64" s="36" t="s">
        <v>538</v>
      </c>
      <c r="B64" s="36" t="s">
        <v>1086</v>
      </c>
      <c r="C64" s="35" t="s">
        <v>1087</v>
      </c>
      <c r="D64" s="35" t="s">
        <v>1088</v>
      </c>
      <c r="E64" s="36" t="s">
        <v>555</v>
      </c>
      <c r="F64" s="36" t="s">
        <v>555</v>
      </c>
      <c r="G64" s="36" t="s">
        <v>1089</v>
      </c>
      <c r="H64" s="38" t="s">
        <v>52</v>
      </c>
      <c r="I64" s="38" t="s">
        <v>1285</v>
      </c>
      <c r="J64" s="38"/>
      <c r="K64" s="57">
        <f t="shared" ref="K64:L64" si="16">7000000+4000000</f>
        <v>11000000</v>
      </c>
      <c r="L64" s="42">
        <f t="shared" si="16"/>
        <v>11000000</v>
      </c>
      <c r="M64" s="58">
        <v>396691.27</v>
      </c>
      <c r="N64" s="42"/>
      <c r="O64" s="39">
        <f t="shared" si="13"/>
        <v>396691.27</v>
      </c>
      <c r="P64" s="36">
        <f>IF(AND((M64+N64)&gt;0,L64=0),"No Funding Goal",IF(AND((M64+N64)=0,L64=0),0,(M64+N64)/L64))</f>
        <v>0.03606284273</v>
      </c>
      <c r="Q64" s="36"/>
      <c r="R64" s="38" t="s">
        <v>1092</v>
      </c>
      <c r="S64" s="36" t="s">
        <v>1093</v>
      </c>
      <c r="T64" s="38" t="s">
        <v>1286</v>
      </c>
      <c r="U64" s="36" t="str">
        <f t="shared" si="14"/>
        <v>3. Difficult</v>
      </c>
      <c r="V64" s="36" t="s">
        <v>1287</v>
      </c>
      <c r="W64" s="36" t="s">
        <v>1288</v>
      </c>
    </row>
    <row r="65" ht="15.75" customHeight="1">
      <c r="A65" s="35" t="s">
        <v>538</v>
      </c>
      <c r="B65" s="36" t="s">
        <v>1086</v>
      </c>
      <c r="C65" s="35" t="s">
        <v>1087</v>
      </c>
      <c r="D65" s="35" t="s">
        <v>1088</v>
      </c>
      <c r="E65" s="36" t="s">
        <v>1289</v>
      </c>
      <c r="F65" s="36" t="s">
        <v>1289</v>
      </c>
      <c r="G65" s="36" t="s">
        <v>1089</v>
      </c>
      <c r="H65" s="37" t="s">
        <v>1117</v>
      </c>
      <c r="I65" s="37" t="s">
        <v>1290</v>
      </c>
      <c r="J65" s="38" t="s">
        <v>1291</v>
      </c>
      <c r="K65" s="38"/>
      <c r="L65" s="39"/>
      <c r="M65" s="39"/>
      <c r="N65" s="39"/>
      <c r="O65" s="39">
        <f t="shared" si="13"/>
        <v>0</v>
      </c>
      <c r="P65" s="38" t="s">
        <v>1098</v>
      </c>
      <c r="Q65" s="38"/>
      <c r="R65" s="36" t="s">
        <v>1099</v>
      </c>
      <c r="S65" s="36" t="s">
        <v>1105</v>
      </c>
      <c r="T65" s="36" t="s">
        <v>1112</v>
      </c>
      <c r="U65" s="36" t="str">
        <f t="shared" si="14"/>
        <v>Not Included</v>
      </c>
      <c r="V65" s="36"/>
      <c r="W65" s="37"/>
      <c r="X65" s="40"/>
      <c r="Y65" s="40"/>
      <c r="Z65" s="40"/>
      <c r="AA65" s="40"/>
      <c r="AB65" s="40"/>
      <c r="AC65" s="40"/>
      <c r="AD65" s="40"/>
      <c r="AE65" s="40"/>
      <c r="AF65" s="40"/>
      <c r="AG65" s="40"/>
      <c r="AH65" s="40"/>
      <c r="AI65" s="40"/>
    </row>
    <row r="66" ht="15.75" customHeight="1">
      <c r="A66" s="35" t="s">
        <v>538</v>
      </c>
      <c r="B66" s="36" t="s">
        <v>1086</v>
      </c>
      <c r="C66" s="35" t="s">
        <v>1087</v>
      </c>
      <c r="D66" s="35" t="s">
        <v>1088</v>
      </c>
      <c r="E66" s="36" t="s">
        <v>1292</v>
      </c>
      <c r="F66" s="37"/>
      <c r="G66" s="36" t="str">
        <f t="shared" ref="G66:G67" si="17">IF(J66&lt;&gt;"CARB", "yes", "CARB")</f>
        <v>yes</v>
      </c>
      <c r="H66" s="37" t="s">
        <v>162</v>
      </c>
      <c r="I66" s="37" t="s">
        <v>1293</v>
      </c>
      <c r="J66" s="38"/>
      <c r="K66" s="38"/>
      <c r="L66" s="39"/>
      <c r="M66" s="39"/>
      <c r="N66" s="39"/>
      <c r="O66" s="39">
        <f t="shared" si="13"/>
        <v>0</v>
      </c>
      <c r="P66" s="38" t="s">
        <v>1098</v>
      </c>
      <c r="Q66" s="38"/>
      <c r="R66" s="38" t="s">
        <v>1092</v>
      </c>
      <c r="S66" s="36" t="s">
        <v>1100</v>
      </c>
      <c r="T66" s="38" t="s">
        <v>1112</v>
      </c>
      <c r="U66" s="36" t="str">
        <f t="shared" si="14"/>
        <v>Not Included</v>
      </c>
      <c r="V66" s="36"/>
      <c r="W66" s="37"/>
      <c r="X66" s="40"/>
      <c r="Y66" s="40"/>
      <c r="Z66" s="40"/>
      <c r="AA66" s="40"/>
      <c r="AB66" s="40"/>
      <c r="AC66" s="40"/>
      <c r="AD66" s="40"/>
      <c r="AE66" s="40"/>
      <c r="AF66" s="40"/>
      <c r="AG66" s="40"/>
      <c r="AH66" s="40"/>
      <c r="AI66" s="40"/>
    </row>
    <row r="67" ht="15.75" customHeight="1">
      <c r="A67" s="35" t="s">
        <v>538</v>
      </c>
      <c r="B67" s="36" t="s">
        <v>1086</v>
      </c>
      <c r="C67" s="35" t="s">
        <v>1087</v>
      </c>
      <c r="D67" s="35" t="s">
        <v>1088</v>
      </c>
      <c r="E67" s="36" t="s">
        <v>1294</v>
      </c>
      <c r="F67" s="37"/>
      <c r="G67" s="36" t="str">
        <f t="shared" si="17"/>
        <v>yes</v>
      </c>
      <c r="H67" s="37" t="s">
        <v>162</v>
      </c>
      <c r="I67" s="37" t="s">
        <v>1279</v>
      </c>
      <c r="J67" s="38"/>
      <c r="K67" s="38"/>
      <c r="L67" s="39"/>
      <c r="M67" s="39"/>
      <c r="N67" s="39"/>
      <c r="O67" s="39">
        <f t="shared" si="13"/>
        <v>0</v>
      </c>
      <c r="P67" s="38" t="s">
        <v>1098</v>
      </c>
      <c r="Q67" s="38"/>
      <c r="R67" s="38" t="s">
        <v>1295</v>
      </c>
      <c r="S67" s="36" t="s">
        <v>1100</v>
      </c>
      <c r="T67" s="38" t="s">
        <v>1112</v>
      </c>
      <c r="U67" s="36" t="str">
        <f t="shared" si="14"/>
        <v>Not Included</v>
      </c>
      <c r="V67" s="36"/>
      <c r="W67" s="37"/>
      <c r="X67" s="40"/>
      <c r="Y67" s="40"/>
      <c r="Z67" s="40"/>
      <c r="AA67" s="40"/>
      <c r="AB67" s="40"/>
      <c r="AC67" s="40"/>
      <c r="AD67" s="40"/>
      <c r="AE67" s="40"/>
      <c r="AF67" s="40"/>
      <c r="AG67" s="40"/>
      <c r="AH67" s="40"/>
      <c r="AI67" s="40"/>
    </row>
    <row r="68" ht="15.75" customHeight="1">
      <c r="A68" s="35" t="s">
        <v>538</v>
      </c>
      <c r="B68" s="36" t="s">
        <v>1086</v>
      </c>
      <c r="C68" s="35" t="s">
        <v>1087</v>
      </c>
      <c r="D68" s="35" t="s">
        <v>1088</v>
      </c>
      <c r="E68" s="35" t="s">
        <v>1296</v>
      </c>
      <c r="F68" s="37"/>
      <c r="G68" s="37" t="s">
        <v>1116</v>
      </c>
      <c r="H68" s="37" t="s">
        <v>1139</v>
      </c>
      <c r="I68" s="37" t="s">
        <v>1297</v>
      </c>
      <c r="J68" s="38"/>
      <c r="K68" s="38"/>
      <c r="L68" s="39"/>
      <c r="M68" s="39"/>
      <c r="N68" s="39"/>
      <c r="O68" s="39"/>
      <c r="P68" s="38" t="s">
        <v>1098</v>
      </c>
      <c r="Q68" s="39"/>
      <c r="R68" s="36"/>
      <c r="S68" s="36"/>
      <c r="T68" s="36"/>
      <c r="U68" s="38"/>
      <c r="V68" s="36"/>
      <c r="W68" s="37"/>
      <c r="X68" s="40"/>
      <c r="Y68" s="40"/>
      <c r="Z68" s="40"/>
      <c r="AA68" s="40"/>
      <c r="AB68" s="40"/>
      <c r="AC68" s="40"/>
      <c r="AD68" s="40"/>
      <c r="AE68" s="40"/>
      <c r="AF68" s="40"/>
      <c r="AG68" s="40"/>
      <c r="AH68" s="40"/>
      <c r="AI68" s="40"/>
    </row>
    <row r="69" ht="15.75" customHeight="1">
      <c r="A69" s="35" t="s">
        <v>538</v>
      </c>
      <c r="B69" s="36" t="s">
        <v>1086</v>
      </c>
      <c r="C69" s="35" t="s">
        <v>1087</v>
      </c>
      <c r="D69" s="35" t="s">
        <v>1088</v>
      </c>
      <c r="E69" s="35" t="s">
        <v>1298</v>
      </c>
      <c r="F69" s="37"/>
      <c r="G69" s="37" t="s">
        <v>1116</v>
      </c>
      <c r="H69" s="37" t="s">
        <v>1139</v>
      </c>
      <c r="I69" s="37" t="s">
        <v>1299</v>
      </c>
      <c r="J69" s="38"/>
      <c r="K69" s="38"/>
      <c r="L69" s="39"/>
      <c r="M69" s="39"/>
      <c r="N69" s="39"/>
      <c r="O69" s="39"/>
      <c r="P69" s="38" t="s">
        <v>1098</v>
      </c>
      <c r="Q69" s="39"/>
      <c r="R69" s="36"/>
      <c r="S69" s="36"/>
      <c r="T69" s="36"/>
      <c r="U69" s="38"/>
      <c r="V69" s="36"/>
      <c r="W69" s="37"/>
      <c r="X69" s="40"/>
      <c r="Y69" s="40"/>
      <c r="Z69" s="40"/>
      <c r="AA69" s="40"/>
      <c r="AB69" s="40"/>
      <c r="AC69" s="40"/>
      <c r="AD69" s="40"/>
      <c r="AE69" s="40"/>
      <c r="AF69" s="40"/>
      <c r="AG69" s="40"/>
      <c r="AH69" s="40"/>
      <c r="AI69" s="40"/>
    </row>
    <row r="70" ht="15.75" customHeight="1">
      <c r="A70" s="35" t="s">
        <v>538</v>
      </c>
      <c r="B70" s="36" t="s">
        <v>1086</v>
      </c>
      <c r="C70" s="35" t="s">
        <v>1087</v>
      </c>
      <c r="D70" s="35" t="s">
        <v>1088</v>
      </c>
      <c r="E70" s="35" t="s">
        <v>1300</v>
      </c>
      <c r="F70" s="37"/>
      <c r="G70" s="37" t="s">
        <v>1116</v>
      </c>
      <c r="H70" s="37" t="s">
        <v>1139</v>
      </c>
      <c r="I70" s="37" t="s">
        <v>1301</v>
      </c>
      <c r="J70" s="38"/>
      <c r="K70" s="38"/>
      <c r="L70" s="39"/>
      <c r="M70" s="39"/>
      <c r="N70" s="39"/>
      <c r="O70" s="39"/>
      <c r="P70" s="38" t="s">
        <v>1098</v>
      </c>
      <c r="Q70" s="39"/>
      <c r="R70" s="36"/>
      <c r="S70" s="36"/>
      <c r="T70" s="36"/>
      <c r="U70" s="38"/>
      <c r="V70" s="36"/>
      <c r="W70" s="37"/>
      <c r="X70" s="40"/>
      <c r="Y70" s="40"/>
      <c r="Z70" s="40"/>
      <c r="AA70" s="40"/>
      <c r="AB70" s="40"/>
      <c r="AC70" s="40"/>
      <c r="AD70" s="40"/>
      <c r="AE70" s="40"/>
      <c r="AF70" s="40"/>
      <c r="AG70" s="40"/>
      <c r="AH70" s="40"/>
      <c r="AI70" s="40"/>
    </row>
    <row r="71" ht="15.75" customHeight="1">
      <c r="A71" s="35" t="s">
        <v>538</v>
      </c>
      <c r="B71" s="36" t="s">
        <v>1086</v>
      </c>
      <c r="C71" s="35" t="s">
        <v>1087</v>
      </c>
      <c r="D71" s="35" t="s">
        <v>1088</v>
      </c>
      <c r="E71" s="36" t="s">
        <v>1302</v>
      </c>
      <c r="F71" s="36"/>
      <c r="G71" s="36" t="s">
        <v>1089</v>
      </c>
      <c r="H71" s="38" t="s">
        <v>153</v>
      </c>
      <c r="I71" s="38" t="s">
        <v>1174</v>
      </c>
      <c r="J71" s="38" t="s">
        <v>1303</v>
      </c>
      <c r="K71" s="38"/>
      <c r="L71" s="42"/>
      <c r="M71" s="42"/>
      <c r="N71" s="42">
        <v>112000.0</v>
      </c>
      <c r="O71" s="39">
        <f t="shared" ref="O71:O94" si="18">M71+N71</f>
        <v>112000</v>
      </c>
      <c r="P71" s="35">
        <v>1.0</v>
      </c>
      <c r="Q71" s="36"/>
      <c r="R71" s="37" t="s">
        <v>1246</v>
      </c>
      <c r="S71" s="38" t="s">
        <v>1093</v>
      </c>
      <c r="T71" s="38" t="s">
        <v>1094</v>
      </c>
      <c r="U71" s="36" t="str">
        <f t="shared" ref="U71:U94" si="19">IFS(
    P71="No Funding Goal","Not Included",
    P71="Not Applicable","Not Included",
    P71&gt;=0.75,"1. Easy",
    AND(P71&lt;0.75,P71&gt;=0.5),"2. Moderate",
    P71&lt;0.5,"3. Difficult"
)</f>
        <v>1. Easy</v>
      </c>
      <c r="V71" s="38"/>
      <c r="W71" s="38"/>
      <c r="X71" s="50"/>
      <c r="Y71" s="50"/>
      <c r="Z71" s="50"/>
      <c r="AA71" s="50"/>
      <c r="AB71" s="50"/>
      <c r="AC71" s="50"/>
      <c r="AD71" s="50"/>
      <c r="AE71" s="50"/>
      <c r="AF71" s="50"/>
      <c r="AG71" s="50"/>
      <c r="AH71" s="50"/>
    </row>
    <row r="72" ht="15.75" customHeight="1">
      <c r="A72" s="35" t="s">
        <v>538</v>
      </c>
      <c r="B72" s="36" t="s">
        <v>1086</v>
      </c>
      <c r="C72" s="35" t="s">
        <v>1087</v>
      </c>
      <c r="D72" s="35" t="s">
        <v>1088</v>
      </c>
      <c r="E72" s="36" t="s">
        <v>1304</v>
      </c>
      <c r="F72" s="37"/>
      <c r="G72" s="36" t="s">
        <v>1089</v>
      </c>
      <c r="H72" s="37" t="s">
        <v>153</v>
      </c>
      <c r="I72" s="37" t="s">
        <v>1250</v>
      </c>
      <c r="J72" s="37" t="s">
        <v>1305</v>
      </c>
      <c r="K72" s="38"/>
      <c r="L72" s="39"/>
      <c r="M72" s="42">
        <v>850500.0</v>
      </c>
      <c r="N72" s="42">
        <v>5011500.0</v>
      </c>
      <c r="O72" s="39">
        <f t="shared" si="18"/>
        <v>5862000</v>
      </c>
      <c r="P72" s="35">
        <v>1.0</v>
      </c>
      <c r="Q72" s="36"/>
      <c r="R72" s="36" t="s">
        <v>1243</v>
      </c>
      <c r="S72" s="36" t="s">
        <v>1093</v>
      </c>
      <c r="T72" s="38" t="s">
        <v>1094</v>
      </c>
      <c r="U72" s="36" t="str">
        <f t="shared" si="19"/>
        <v>1. Easy</v>
      </c>
      <c r="V72" s="36" t="s">
        <v>1306</v>
      </c>
      <c r="W72" s="37" t="s">
        <v>1307</v>
      </c>
      <c r="X72" s="40"/>
      <c r="Y72" s="40"/>
      <c r="Z72" s="40"/>
      <c r="AA72" s="40"/>
      <c r="AB72" s="40"/>
      <c r="AC72" s="40"/>
      <c r="AD72" s="40"/>
      <c r="AE72" s="40"/>
      <c r="AF72" s="40"/>
      <c r="AG72" s="40"/>
      <c r="AH72" s="40"/>
      <c r="AI72" s="40"/>
    </row>
    <row r="73" ht="71.25" customHeight="1">
      <c r="A73" s="35" t="s">
        <v>538</v>
      </c>
      <c r="B73" s="36" t="s">
        <v>1086</v>
      </c>
      <c r="C73" s="35" t="s">
        <v>1087</v>
      </c>
      <c r="D73" s="35" t="s">
        <v>1088</v>
      </c>
      <c r="E73" s="36" t="s">
        <v>1308</v>
      </c>
      <c r="F73" s="37"/>
      <c r="G73" s="36" t="s">
        <v>1089</v>
      </c>
      <c r="H73" s="38" t="s">
        <v>1309</v>
      </c>
      <c r="I73" s="38" t="s">
        <v>1310</v>
      </c>
      <c r="J73" s="37"/>
      <c r="K73" s="38"/>
      <c r="L73" s="39"/>
      <c r="M73" s="39"/>
      <c r="N73" s="39"/>
      <c r="O73" s="39">
        <f t="shared" si="18"/>
        <v>0</v>
      </c>
      <c r="P73" s="36">
        <f>IF(AND((M73+N73)&gt;0,L73=0),"No Funding Goal",IF(AND((M73+N73)=0,L73=0),0,(M73+N73)/L73))</f>
        <v>0</v>
      </c>
      <c r="Q73" s="36"/>
      <c r="R73" s="37" t="s">
        <v>1311</v>
      </c>
      <c r="S73" s="36" t="s">
        <v>1105</v>
      </c>
      <c r="T73" s="36" t="s">
        <v>1094</v>
      </c>
      <c r="U73" s="36" t="str">
        <f t="shared" si="19"/>
        <v>3. Difficult</v>
      </c>
      <c r="V73" s="36"/>
      <c r="W73" s="37"/>
      <c r="X73" s="40"/>
      <c r="Y73" s="40"/>
      <c r="Z73" s="40"/>
      <c r="AA73" s="40"/>
      <c r="AB73" s="40"/>
      <c r="AC73" s="40"/>
      <c r="AD73" s="40"/>
      <c r="AE73" s="40"/>
      <c r="AF73" s="40"/>
      <c r="AG73" s="40"/>
      <c r="AH73" s="40"/>
      <c r="AI73" s="40"/>
    </row>
    <row r="74" ht="15.75" customHeight="1">
      <c r="A74" s="35" t="s">
        <v>538</v>
      </c>
      <c r="B74" s="36" t="s">
        <v>1086</v>
      </c>
      <c r="C74" s="35" t="s">
        <v>1087</v>
      </c>
      <c r="D74" s="35" t="s">
        <v>1088</v>
      </c>
      <c r="E74" s="36" t="s">
        <v>554</v>
      </c>
      <c r="F74" s="36" t="s">
        <v>554</v>
      </c>
      <c r="G74" s="36" t="s">
        <v>1089</v>
      </c>
      <c r="H74" s="37" t="s">
        <v>1090</v>
      </c>
      <c r="I74" s="59" t="s">
        <v>1312</v>
      </c>
      <c r="J74" s="38"/>
      <c r="K74" s="38"/>
      <c r="L74" s="42"/>
      <c r="M74" s="42"/>
      <c r="N74" s="42">
        <v>17500.0</v>
      </c>
      <c r="O74" s="39">
        <f t="shared" si="18"/>
        <v>17500</v>
      </c>
      <c r="P74" s="35">
        <v>1.0</v>
      </c>
      <c r="Q74" s="36"/>
      <c r="R74" s="38" t="s">
        <v>1092</v>
      </c>
      <c r="S74" s="38" t="s">
        <v>1093</v>
      </c>
      <c r="T74" s="38" t="s">
        <v>1094</v>
      </c>
      <c r="U74" s="36" t="str">
        <f t="shared" si="19"/>
        <v>1. Easy</v>
      </c>
      <c r="V74" s="37"/>
      <c r="W74" s="37"/>
      <c r="X74" s="40"/>
      <c r="Y74" s="40"/>
      <c r="Z74" s="40"/>
      <c r="AA74" s="40"/>
      <c r="AB74" s="40"/>
      <c r="AC74" s="40"/>
      <c r="AD74" s="40"/>
      <c r="AE74" s="40"/>
      <c r="AF74" s="40"/>
      <c r="AG74" s="40"/>
      <c r="AH74" s="40"/>
      <c r="AI74" s="40"/>
    </row>
    <row r="75" ht="76.5" customHeight="1">
      <c r="A75" s="35" t="s">
        <v>538</v>
      </c>
      <c r="B75" s="36" t="s">
        <v>1086</v>
      </c>
      <c r="C75" s="35" t="s">
        <v>1087</v>
      </c>
      <c r="D75" s="35" t="s">
        <v>1088</v>
      </c>
      <c r="E75" s="35" t="s">
        <v>1313</v>
      </c>
      <c r="F75" s="37"/>
      <c r="G75" s="36" t="s">
        <v>1089</v>
      </c>
      <c r="H75" s="37" t="s">
        <v>1314</v>
      </c>
      <c r="I75" s="37" t="s">
        <v>1315</v>
      </c>
      <c r="J75" s="38" t="s">
        <v>1316</v>
      </c>
      <c r="K75" s="38"/>
      <c r="L75" s="39"/>
      <c r="M75" s="39"/>
      <c r="N75" s="39">
        <v>0.0</v>
      </c>
      <c r="O75" s="39">
        <f t="shared" si="18"/>
        <v>0</v>
      </c>
      <c r="P75" s="36" t="s">
        <v>1098</v>
      </c>
      <c r="Q75" s="36"/>
      <c r="R75" s="36" t="s">
        <v>1317</v>
      </c>
      <c r="S75" s="36" t="s">
        <v>1105</v>
      </c>
      <c r="T75" s="36" t="s">
        <v>1112</v>
      </c>
      <c r="U75" s="36" t="str">
        <f t="shared" si="19"/>
        <v>Not Included</v>
      </c>
      <c r="V75" s="36"/>
      <c r="W75" s="37"/>
      <c r="X75" s="40"/>
      <c r="Y75" s="40"/>
      <c r="Z75" s="40"/>
      <c r="AA75" s="40"/>
      <c r="AB75" s="40"/>
      <c r="AC75" s="40"/>
      <c r="AD75" s="40"/>
      <c r="AE75" s="40"/>
      <c r="AF75" s="40"/>
      <c r="AG75" s="40"/>
      <c r="AH75" s="40"/>
      <c r="AI75" s="40"/>
    </row>
    <row r="76" ht="15.75" customHeight="1">
      <c r="A76" s="35" t="s">
        <v>538</v>
      </c>
      <c r="B76" s="36" t="s">
        <v>1086</v>
      </c>
      <c r="C76" s="35" t="s">
        <v>1087</v>
      </c>
      <c r="D76" s="35" t="s">
        <v>1088</v>
      </c>
      <c r="E76" s="36" t="s">
        <v>1318</v>
      </c>
      <c r="F76" s="37"/>
      <c r="G76" s="36" t="s">
        <v>1089</v>
      </c>
      <c r="H76" s="37" t="s">
        <v>1314</v>
      </c>
      <c r="I76" s="37" t="s">
        <v>1319</v>
      </c>
      <c r="J76" s="38"/>
      <c r="K76" s="38"/>
      <c r="L76" s="39"/>
      <c r="M76" s="39"/>
      <c r="N76" s="39"/>
      <c r="O76" s="39">
        <f t="shared" si="18"/>
        <v>0</v>
      </c>
      <c r="P76" s="36" t="s">
        <v>1098</v>
      </c>
      <c r="Q76" s="36"/>
      <c r="R76" s="36" t="s">
        <v>1182</v>
      </c>
      <c r="S76" s="36" t="s">
        <v>1105</v>
      </c>
      <c r="T76" s="36" t="s">
        <v>1112</v>
      </c>
      <c r="U76" s="36" t="str">
        <f t="shared" si="19"/>
        <v>Not Included</v>
      </c>
      <c r="V76" s="36"/>
      <c r="W76" s="37"/>
      <c r="X76" s="40"/>
      <c r="Y76" s="40"/>
      <c r="Z76" s="40"/>
      <c r="AA76" s="40"/>
      <c r="AB76" s="40"/>
      <c r="AC76" s="40"/>
      <c r="AD76" s="40"/>
      <c r="AE76" s="40"/>
      <c r="AF76" s="40"/>
      <c r="AG76" s="40"/>
      <c r="AH76" s="40"/>
      <c r="AI76" s="40"/>
    </row>
    <row r="77" ht="15.75" customHeight="1">
      <c r="A77" s="35" t="s">
        <v>538</v>
      </c>
      <c r="B77" s="36" t="s">
        <v>1086</v>
      </c>
      <c r="C77" s="35" t="s">
        <v>1087</v>
      </c>
      <c r="D77" s="35" t="s">
        <v>1088</v>
      </c>
      <c r="E77" s="35" t="s">
        <v>1320</v>
      </c>
      <c r="F77" s="37"/>
      <c r="G77" s="36" t="s">
        <v>1089</v>
      </c>
      <c r="H77" s="37" t="s">
        <v>1314</v>
      </c>
      <c r="I77" s="37" t="s">
        <v>1321</v>
      </c>
      <c r="J77" s="38"/>
      <c r="K77" s="38"/>
      <c r="L77" s="39"/>
      <c r="M77" s="39"/>
      <c r="N77" s="39"/>
      <c r="O77" s="39">
        <f t="shared" si="18"/>
        <v>0</v>
      </c>
      <c r="P77" s="36" t="s">
        <v>1098</v>
      </c>
      <c r="Q77" s="36"/>
      <c r="R77" s="36" t="s">
        <v>1152</v>
      </c>
      <c r="S77" s="36" t="s">
        <v>1105</v>
      </c>
      <c r="T77" s="36" t="s">
        <v>1112</v>
      </c>
      <c r="U77" s="36" t="str">
        <f t="shared" si="19"/>
        <v>Not Included</v>
      </c>
      <c r="V77" s="36"/>
      <c r="W77" s="37"/>
      <c r="X77" s="40"/>
      <c r="Y77" s="40"/>
      <c r="Z77" s="40"/>
      <c r="AA77" s="40"/>
      <c r="AB77" s="40"/>
      <c r="AC77" s="40"/>
      <c r="AD77" s="40"/>
      <c r="AE77" s="40"/>
      <c r="AF77" s="40"/>
      <c r="AG77" s="40"/>
      <c r="AH77" s="40"/>
      <c r="AI77" s="40"/>
    </row>
    <row r="78" ht="15.75" customHeight="1">
      <c r="A78" s="35" t="s">
        <v>538</v>
      </c>
      <c r="B78" s="36" t="s">
        <v>1086</v>
      </c>
      <c r="C78" s="35" t="s">
        <v>1087</v>
      </c>
      <c r="D78" s="35" t="s">
        <v>1088</v>
      </c>
      <c r="E78" s="35" t="s">
        <v>1322</v>
      </c>
      <c r="F78" s="37"/>
      <c r="G78" s="36" t="s">
        <v>1089</v>
      </c>
      <c r="H78" s="37" t="s">
        <v>1314</v>
      </c>
      <c r="I78" s="37" t="s">
        <v>41</v>
      </c>
      <c r="J78" s="38" t="s">
        <v>1323</v>
      </c>
      <c r="K78" s="38"/>
      <c r="L78" s="39"/>
      <c r="M78" s="39"/>
      <c r="N78" s="39"/>
      <c r="O78" s="39">
        <f t="shared" si="18"/>
        <v>0</v>
      </c>
      <c r="P78" s="38" t="s">
        <v>1098</v>
      </c>
      <c r="Q78" s="36"/>
      <c r="R78" s="36" t="s">
        <v>1092</v>
      </c>
      <c r="S78" s="36" t="s">
        <v>1105</v>
      </c>
      <c r="T78" s="38" t="s">
        <v>1286</v>
      </c>
      <c r="U78" s="36" t="str">
        <f t="shared" si="19"/>
        <v>Not Included</v>
      </c>
      <c r="V78" s="36"/>
      <c r="W78" s="37"/>
      <c r="X78" s="40"/>
      <c r="Y78" s="40"/>
      <c r="Z78" s="40"/>
      <c r="AA78" s="40"/>
      <c r="AB78" s="40"/>
      <c r="AC78" s="40"/>
      <c r="AD78" s="40"/>
      <c r="AE78" s="40"/>
      <c r="AF78" s="40"/>
      <c r="AG78" s="40"/>
      <c r="AH78" s="40"/>
      <c r="AI78" s="40"/>
    </row>
    <row r="79" ht="15.75" customHeight="1">
      <c r="A79" s="35" t="s">
        <v>538</v>
      </c>
      <c r="B79" s="36" t="s">
        <v>1086</v>
      </c>
      <c r="C79" s="35" t="s">
        <v>1087</v>
      </c>
      <c r="D79" s="35" t="s">
        <v>1088</v>
      </c>
      <c r="E79" s="35" t="s">
        <v>562</v>
      </c>
      <c r="F79" s="37"/>
      <c r="G79" s="36" t="s">
        <v>1089</v>
      </c>
      <c r="H79" s="38" t="s">
        <v>1314</v>
      </c>
      <c r="I79" s="38" t="s">
        <v>1324</v>
      </c>
      <c r="J79" s="37" t="s">
        <v>1325</v>
      </c>
      <c r="K79" s="38"/>
      <c r="L79" s="39"/>
      <c r="M79" s="39"/>
      <c r="N79" s="39"/>
      <c r="O79" s="39">
        <f t="shared" si="18"/>
        <v>0</v>
      </c>
      <c r="P79" s="36" t="s">
        <v>1098</v>
      </c>
      <c r="Q79" s="36"/>
      <c r="R79" s="36" t="s">
        <v>1317</v>
      </c>
      <c r="S79" s="36" t="s">
        <v>1105</v>
      </c>
      <c r="T79" s="38" t="s">
        <v>1094</v>
      </c>
      <c r="U79" s="36" t="str">
        <f t="shared" si="19"/>
        <v>Not Included</v>
      </c>
      <c r="V79" s="36"/>
      <c r="W79" s="37"/>
      <c r="X79" s="40"/>
      <c r="Y79" s="40"/>
      <c r="Z79" s="40"/>
      <c r="AA79" s="40"/>
      <c r="AB79" s="40"/>
      <c r="AC79" s="40"/>
      <c r="AD79" s="40"/>
      <c r="AE79" s="40"/>
      <c r="AF79" s="40"/>
      <c r="AG79" s="40"/>
      <c r="AH79" s="40"/>
      <c r="AI79" s="40"/>
    </row>
    <row r="80" ht="15.75" customHeight="1">
      <c r="A80" s="35" t="s">
        <v>538</v>
      </c>
      <c r="B80" s="36" t="s">
        <v>1086</v>
      </c>
      <c r="C80" s="35" t="s">
        <v>1087</v>
      </c>
      <c r="D80" s="35" t="s">
        <v>1088</v>
      </c>
      <c r="E80" s="35" t="s">
        <v>1326</v>
      </c>
      <c r="F80" s="37"/>
      <c r="G80" s="36" t="s">
        <v>1089</v>
      </c>
      <c r="H80" s="38" t="s">
        <v>1314</v>
      </c>
      <c r="I80" s="38" t="s">
        <v>1324</v>
      </c>
      <c r="J80" s="38" t="s">
        <v>1327</v>
      </c>
      <c r="K80" s="38"/>
      <c r="L80" s="39"/>
      <c r="M80" s="39"/>
      <c r="N80" s="39"/>
      <c r="O80" s="39">
        <f t="shared" si="18"/>
        <v>0</v>
      </c>
      <c r="P80" s="36" t="s">
        <v>1098</v>
      </c>
      <c r="Q80" s="36"/>
      <c r="R80" s="36" t="s">
        <v>1243</v>
      </c>
      <c r="S80" s="36" t="s">
        <v>1105</v>
      </c>
      <c r="T80" s="38" t="s">
        <v>1094</v>
      </c>
      <c r="U80" s="36" t="str">
        <f t="shared" si="19"/>
        <v>Not Included</v>
      </c>
      <c r="V80" s="36"/>
      <c r="W80" s="37"/>
      <c r="X80" s="40"/>
      <c r="Y80" s="40"/>
      <c r="Z80" s="40"/>
      <c r="AA80" s="40"/>
      <c r="AB80" s="40"/>
      <c r="AC80" s="40"/>
      <c r="AD80" s="40"/>
      <c r="AE80" s="40"/>
      <c r="AF80" s="40"/>
      <c r="AG80" s="40"/>
      <c r="AH80" s="40"/>
      <c r="AI80" s="40"/>
    </row>
    <row r="81" ht="15.75" customHeight="1">
      <c r="A81" s="35" t="s">
        <v>538</v>
      </c>
      <c r="B81" s="36" t="s">
        <v>1086</v>
      </c>
      <c r="C81" s="35" t="s">
        <v>1087</v>
      </c>
      <c r="D81" s="35" t="s">
        <v>1088</v>
      </c>
      <c r="E81" s="36" t="s">
        <v>1328</v>
      </c>
      <c r="F81" s="37"/>
      <c r="G81" s="36" t="s">
        <v>1089</v>
      </c>
      <c r="H81" s="37" t="s">
        <v>1097</v>
      </c>
      <c r="I81" s="37" t="s">
        <v>1329</v>
      </c>
      <c r="J81" s="38" t="s">
        <v>1330</v>
      </c>
      <c r="K81" s="38"/>
      <c r="L81" s="39"/>
      <c r="M81" s="39"/>
      <c r="N81" s="39"/>
      <c r="O81" s="39">
        <f t="shared" si="18"/>
        <v>0</v>
      </c>
      <c r="P81" s="36" t="s">
        <v>1098</v>
      </c>
      <c r="Q81" s="36"/>
      <c r="R81" s="36" t="s">
        <v>1092</v>
      </c>
      <c r="S81" s="36" t="s">
        <v>1105</v>
      </c>
      <c r="T81" s="36" t="s">
        <v>1112</v>
      </c>
      <c r="U81" s="36" t="str">
        <f t="shared" si="19"/>
        <v>Not Included</v>
      </c>
      <c r="V81" s="36"/>
      <c r="W81" s="37"/>
      <c r="X81" s="40"/>
      <c r="Y81" s="40"/>
      <c r="Z81" s="40"/>
      <c r="AA81" s="40"/>
      <c r="AB81" s="40"/>
      <c r="AC81" s="40"/>
      <c r="AD81" s="40"/>
      <c r="AE81" s="40"/>
      <c r="AF81" s="40"/>
      <c r="AG81" s="40"/>
      <c r="AH81" s="40"/>
      <c r="AI81" s="40"/>
    </row>
    <row r="82" ht="15.75" customHeight="1">
      <c r="A82" s="36" t="s">
        <v>538</v>
      </c>
      <c r="B82" s="36" t="s">
        <v>1086</v>
      </c>
      <c r="C82" s="35" t="s">
        <v>1087</v>
      </c>
      <c r="D82" s="35" t="s">
        <v>1088</v>
      </c>
      <c r="E82" s="36" t="s">
        <v>632</v>
      </c>
      <c r="F82" s="36" t="s">
        <v>632</v>
      </c>
      <c r="G82" s="36" t="s">
        <v>1089</v>
      </c>
      <c r="H82" s="37" t="s">
        <v>1129</v>
      </c>
      <c r="I82" s="37" t="s">
        <v>1331</v>
      </c>
      <c r="J82" s="38"/>
      <c r="K82" s="38"/>
      <c r="L82" s="42"/>
      <c r="M82" s="42"/>
      <c r="N82" s="42"/>
      <c r="O82" s="39">
        <f t="shared" si="18"/>
        <v>0</v>
      </c>
      <c r="P82" s="38" t="s">
        <v>1098</v>
      </c>
      <c r="Q82" s="38"/>
      <c r="R82" s="37" t="s">
        <v>1099</v>
      </c>
      <c r="S82" s="38" t="s">
        <v>1105</v>
      </c>
      <c r="T82" s="38" t="s">
        <v>1112</v>
      </c>
      <c r="U82" s="36" t="str">
        <f t="shared" si="19"/>
        <v>Not Included</v>
      </c>
      <c r="V82" s="38" t="s">
        <v>1240</v>
      </c>
      <c r="W82" s="38" t="s">
        <v>1108</v>
      </c>
    </row>
    <row r="83" ht="15.75" customHeight="1">
      <c r="A83" s="36" t="s">
        <v>538</v>
      </c>
      <c r="B83" s="36" t="s">
        <v>1086</v>
      </c>
      <c r="C83" s="35" t="s">
        <v>1087</v>
      </c>
      <c r="D83" s="35" t="s">
        <v>1088</v>
      </c>
      <c r="E83" s="36" t="s">
        <v>547</v>
      </c>
      <c r="F83" s="36" t="s">
        <v>547</v>
      </c>
      <c r="G83" s="36" t="s">
        <v>1089</v>
      </c>
      <c r="H83" s="37" t="s">
        <v>1129</v>
      </c>
      <c r="I83" s="44" t="s">
        <v>1332</v>
      </c>
      <c r="J83" s="38"/>
      <c r="K83" s="38"/>
      <c r="L83" s="42"/>
      <c r="M83" s="42"/>
      <c r="N83" s="42"/>
      <c r="O83" s="39">
        <f t="shared" si="18"/>
        <v>0</v>
      </c>
      <c r="P83" s="38" t="s">
        <v>1098</v>
      </c>
      <c r="Q83" s="38"/>
      <c r="R83" s="37" t="s">
        <v>1099</v>
      </c>
      <c r="S83" s="38" t="s">
        <v>1105</v>
      </c>
      <c r="T83" s="38" t="s">
        <v>1112</v>
      </c>
      <c r="U83" s="36" t="str">
        <f t="shared" si="19"/>
        <v>Not Included</v>
      </c>
      <c r="V83" s="38" t="s">
        <v>1333</v>
      </c>
      <c r="W83" s="38" t="s">
        <v>1108</v>
      </c>
    </row>
    <row r="84" ht="15.75" customHeight="1">
      <c r="A84" s="35" t="s">
        <v>538</v>
      </c>
      <c r="B84" s="36" t="s">
        <v>1086</v>
      </c>
      <c r="C84" s="35" t="s">
        <v>1087</v>
      </c>
      <c r="D84" s="35" t="s">
        <v>1088</v>
      </c>
      <c r="E84" s="36" t="s">
        <v>1334</v>
      </c>
      <c r="F84" s="37"/>
      <c r="G84" s="36" t="s">
        <v>1089</v>
      </c>
      <c r="H84" s="37" t="s">
        <v>1097</v>
      </c>
      <c r="I84" s="37" t="s">
        <v>1335</v>
      </c>
      <c r="J84" s="38" t="s">
        <v>1336</v>
      </c>
      <c r="K84" s="38"/>
      <c r="L84" s="39"/>
      <c r="M84" s="39"/>
      <c r="N84" s="39"/>
      <c r="O84" s="39">
        <f t="shared" si="18"/>
        <v>0</v>
      </c>
      <c r="P84" s="38" t="s">
        <v>1098</v>
      </c>
      <c r="Q84" s="38"/>
      <c r="R84" s="36" t="s">
        <v>1099</v>
      </c>
      <c r="S84" s="36" t="s">
        <v>1105</v>
      </c>
      <c r="T84" s="38" t="s">
        <v>1112</v>
      </c>
      <c r="U84" s="36" t="str">
        <f t="shared" si="19"/>
        <v>Not Included</v>
      </c>
      <c r="V84" s="36"/>
      <c r="W84" s="37"/>
      <c r="X84" s="40"/>
      <c r="Y84" s="40"/>
      <c r="Z84" s="40"/>
      <c r="AA84" s="40"/>
      <c r="AB84" s="40"/>
      <c r="AC84" s="40"/>
      <c r="AD84" s="40"/>
      <c r="AE84" s="40"/>
      <c r="AF84" s="40"/>
      <c r="AG84" s="40"/>
      <c r="AH84" s="40"/>
      <c r="AI84" s="40"/>
    </row>
    <row r="85" ht="15.75" customHeight="1">
      <c r="A85" s="35" t="s">
        <v>538</v>
      </c>
      <c r="B85" s="36" t="s">
        <v>1086</v>
      </c>
      <c r="C85" s="35" t="s">
        <v>1087</v>
      </c>
      <c r="D85" s="35" t="s">
        <v>1088</v>
      </c>
      <c r="E85" s="35" t="s">
        <v>666</v>
      </c>
      <c r="F85" s="37"/>
      <c r="G85" s="36" t="s">
        <v>1089</v>
      </c>
      <c r="H85" s="37" t="s">
        <v>1097</v>
      </c>
      <c r="I85" s="37" t="s">
        <v>1335</v>
      </c>
      <c r="J85" s="38" t="s">
        <v>1337</v>
      </c>
      <c r="K85" s="38"/>
      <c r="L85" s="39"/>
      <c r="M85" s="39"/>
      <c r="N85" s="39"/>
      <c r="O85" s="39">
        <f t="shared" si="18"/>
        <v>0</v>
      </c>
      <c r="P85" s="38" t="s">
        <v>1098</v>
      </c>
      <c r="Q85" s="38"/>
      <c r="R85" s="36" t="s">
        <v>1099</v>
      </c>
      <c r="S85" s="36" t="s">
        <v>1105</v>
      </c>
      <c r="T85" s="38" t="s">
        <v>1112</v>
      </c>
      <c r="U85" s="36" t="str">
        <f t="shared" si="19"/>
        <v>Not Included</v>
      </c>
      <c r="V85" s="36"/>
      <c r="W85" s="37"/>
      <c r="X85" s="40"/>
      <c r="Y85" s="40"/>
      <c r="Z85" s="40"/>
      <c r="AA85" s="40"/>
      <c r="AB85" s="40"/>
      <c r="AC85" s="40"/>
      <c r="AD85" s="40"/>
      <c r="AE85" s="40"/>
      <c r="AF85" s="40"/>
      <c r="AG85" s="40"/>
      <c r="AH85" s="40"/>
      <c r="AI85" s="40"/>
    </row>
    <row r="86" ht="15.75" customHeight="1">
      <c r="A86" s="35" t="s">
        <v>538</v>
      </c>
      <c r="B86" s="36" t="s">
        <v>1086</v>
      </c>
      <c r="C86" s="35" t="s">
        <v>1087</v>
      </c>
      <c r="D86" s="35" t="s">
        <v>1088</v>
      </c>
      <c r="E86" s="35" t="s">
        <v>1338</v>
      </c>
      <c r="F86" s="37"/>
      <c r="G86" s="36" t="s">
        <v>1089</v>
      </c>
      <c r="H86" s="37" t="s">
        <v>1097</v>
      </c>
      <c r="I86" s="37" t="s">
        <v>1335</v>
      </c>
      <c r="J86" s="38" t="s">
        <v>1339</v>
      </c>
      <c r="K86" s="38"/>
      <c r="L86" s="39"/>
      <c r="M86" s="39"/>
      <c r="N86" s="39"/>
      <c r="O86" s="39">
        <f t="shared" si="18"/>
        <v>0</v>
      </c>
      <c r="P86" s="38" t="s">
        <v>1098</v>
      </c>
      <c r="Q86" s="38"/>
      <c r="R86" s="36" t="s">
        <v>1092</v>
      </c>
      <c r="S86" s="36" t="s">
        <v>1105</v>
      </c>
      <c r="T86" s="38" t="s">
        <v>1112</v>
      </c>
      <c r="U86" s="36" t="str">
        <f t="shared" si="19"/>
        <v>Not Included</v>
      </c>
      <c r="V86" s="36"/>
      <c r="W86" s="37"/>
      <c r="X86" s="40"/>
      <c r="Y86" s="40"/>
      <c r="Z86" s="40"/>
      <c r="AA86" s="40"/>
      <c r="AB86" s="40"/>
      <c r="AC86" s="40"/>
      <c r="AD86" s="40"/>
      <c r="AE86" s="40"/>
      <c r="AF86" s="40"/>
      <c r="AG86" s="40"/>
      <c r="AH86" s="40"/>
      <c r="AI86" s="40"/>
    </row>
    <row r="87" ht="15.75" customHeight="1">
      <c r="A87" s="35" t="s">
        <v>538</v>
      </c>
      <c r="B87" s="36" t="s">
        <v>1086</v>
      </c>
      <c r="C87" s="35" t="s">
        <v>1087</v>
      </c>
      <c r="D87" s="35" t="s">
        <v>1088</v>
      </c>
      <c r="E87" s="36" t="s">
        <v>1340</v>
      </c>
      <c r="F87" s="37"/>
      <c r="G87" s="36" t="s">
        <v>1089</v>
      </c>
      <c r="H87" s="37" t="s">
        <v>1097</v>
      </c>
      <c r="I87" s="37" t="s">
        <v>1341</v>
      </c>
      <c r="J87" s="38"/>
      <c r="K87" s="38"/>
      <c r="L87" s="39"/>
      <c r="M87" s="39"/>
      <c r="N87" s="39"/>
      <c r="O87" s="39">
        <f t="shared" si="18"/>
        <v>0</v>
      </c>
      <c r="P87" s="38" t="s">
        <v>1098</v>
      </c>
      <c r="Q87" s="38"/>
      <c r="R87" s="36" t="s">
        <v>1092</v>
      </c>
      <c r="S87" s="36" t="s">
        <v>1105</v>
      </c>
      <c r="T87" s="38" t="s">
        <v>1112</v>
      </c>
      <c r="U87" s="36" t="str">
        <f t="shared" si="19"/>
        <v>Not Included</v>
      </c>
      <c r="V87" s="36"/>
      <c r="W87" s="37"/>
      <c r="X87" s="40"/>
      <c r="Y87" s="40"/>
      <c r="Z87" s="40"/>
      <c r="AA87" s="40"/>
      <c r="AB87" s="40"/>
      <c r="AC87" s="40"/>
      <c r="AD87" s="40"/>
      <c r="AE87" s="40"/>
      <c r="AF87" s="40"/>
      <c r="AG87" s="40"/>
      <c r="AH87" s="40"/>
      <c r="AI87" s="40"/>
    </row>
    <row r="88" ht="15.75" customHeight="1">
      <c r="A88" s="35" t="s">
        <v>538</v>
      </c>
      <c r="B88" s="36" t="s">
        <v>1086</v>
      </c>
      <c r="C88" s="35" t="s">
        <v>1087</v>
      </c>
      <c r="D88" s="35" t="s">
        <v>1088</v>
      </c>
      <c r="E88" s="35" t="s">
        <v>1342</v>
      </c>
      <c r="F88" s="37"/>
      <c r="G88" s="36" t="s">
        <v>1089</v>
      </c>
      <c r="H88" s="37" t="s">
        <v>1097</v>
      </c>
      <c r="I88" s="37" t="s">
        <v>1343</v>
      </c>
      <c r="J88" s="38"/>
      <c r="K88" s="38"/>
      <c r="L88" s="39"/>
      <c r="M88" s="39"/>
      <c r="N88" s="39"/>
      <c r="O88" s="39">
        <f t="shared" si="18"/>
        <v>0</v>
      </c>
      <c r="P88" s="38" t="s">
        <v>1098</v>
      </c>
      <c r="Q88" s="38"/>
      <c r="R88" s="36" t="s">
        <v>1092</v>
      </c>
      <c r="S88" s="36" t="s">
        <v>1105</v>
      </c>
      <c r="T88" s="38" t="s">
        <v>1112</v>
      </c>
      <c r="U88" s="36" t="str">
        <f t="shared" si="19"/>
        <v>Not Included</v>
      </c>
      <c r="V88" s="36"/>
      <c r="W88" s="37"/>
      <c r="X88" s="40"/>
      <c r="Y88" s="40"/>
      <c r="Z88" s="40"/>
      <c r="AA88" s="40"/>
      <c r="AB88" s="40"/>
      <c r="AC88" s="40"/>
      <c r="AD88" s="40"/>
      <c r="AE88" s="40"/>
      <c r="AF88" s="40"/>
      <c r="AG88" s="40"/>
      <c r="AH88" s="40"/>
      <c r="AI88" s="40"/>
    </row>
    <row r="89" ht="84.75" customHeight="1">
      <c r="A89" s="35" t="s">
        <v>538</v>
      </c>
      <c r="B89" s="36" t="s">
        <v>1086</v>
      </c>
      <c r="C89" s="35" t="s">
        <v>1087</v>
      </c>
      <c r="D89" s="35" t="s">
        <v>1088</v>
      </c>
      <c r="E89" s="36" t="s">
        <v>1344</v>
      </c>
      <c r="F89" s="37"/>
      <c r="G89" s="36" t="s">
        <v>1089</v>
      </c>
      <c r="H89" s="37" t="s">
        <v>1097</v>
      </c>
      <c r="I89" s="37" t="s">
        <v>1345</v>
      </c>
      <c r="J89" s="38"/>
      <c r="K89" s="38"/>
      <c r="L89" s="39"/>
      <c r="M89" s="39"/>
      <c r="N89" s="39"/>
      <c r="O89" s="39">
        <f t="shared" si="18"/>
        <v>0</v>
      </c>
      <c r="P89" s="38" t="s">
        <v>1098</v>
      </c>
      <c r="Q89" s="38"/>
      <c r="R89" s="36" t="s">
        <v>1159</v>
      </c>
      <c r="S89" s="36" t="s">
        <v>1105</v>
      </c>
      <c r="T89" s="38" t="s">
        <v>1112</v>
      </c>
      <c r="U89" s="36" t="str">
        <f t="shared" si="19"/>
        <v>Not Included</v>
      </c>
      <c r="V89" s="36"/>
      <c r="W89" s="37"/>
      <c r="X89" s="40"/>
      <c r="Y89" s="40"/>
      <c r="Z89" s="40"/>
      <c r="AA89" s="40"/>
      <c r="AB89" s="40"/>
      <c r="AC89" s="40"/>
      <c r="AD89" s="40"/>
      <c r="AE89" s="40"/>
      <c r="AF89" s="40"/>
      <c r="AG89" s="40"/>
      <c r="AH89" s="40"/>
      <c r="AI89" s="40"/>
    </row>
    <row r="90" ht="125.25" customHeight="1">
      <c r="A90" s="35" t="s">
        <v>538</v>
      </c>
      <c r="B90" s="36" t="s">
        <v>1086</v>
      </c>
      <c r="C90" s="35" t="s">
        <v>1087</v>
      </c>
      <c r="D90" s="35" t="s">
        <v>1088</v>
      </c>
      <c r="E90" s="36" t="s">
        <v>1346</v>
      </c>
      <c r="F90" s="37"/>
      <c r="G90" s="36" t="s">
        <v>1089</v>
      </c>
      <c r="H90" s="37" t="s">
        <v>1347</v>
      </c>
      <c r="I90" s="37" t="s">
        <v>1348</v>
      </c>
      <c r="J90" s="38"/>
      <c r="K90" s="38"/>
      <c r="L90" s="39"/>
      <c r="M90" s="39"/>
      <c r="N90" s="39"/>
      <c r="O90" s="39">
        <f t="shared" si="18"/>
        <v>0</v>
      </c>
      <c r="P90" s="36" t="s">
        <v>1098</v>
      </c>
      <c r="Q90" s="36"/>
      <c r="R90" s="38" t="s">
        <v>1092</v>
      </c>
      <c r="S90" s="36" t="s">
        <v>1105</v>
      </c>
      <c r="T90" s="38" t="s">
        <v>1112</v>
      </c>
      <c r="U90" s="36" t="str">
        <f t="shared" si="19"/>
        <v>Not Included</v>
      </c>
      <c r="V90" s="36"/>
      <c r="W90" s="37"/>
      <c r="X90" s="40"/>
      <c r="Y90" s="40"/>
      <c r="Z90" s="40"/>
      <c r="AA90" s="40"/>
      <c r="AB90" s="40"/>
      <c r="AC90" s="40"/>
      <c r="AD90" s="40"/>
      <c r="AE90" s="40"/>
      <c r="AF90" s="40"/>
      <c r="AG90" s="40"/>
      <c r="AH90" s="40"/>
      <c r="AI90" s="40"/>
    </row>
    <row r="91" ht="114.75" customHeight="1">
      <c r="A91" s="35" t="s">
        <v>538</v>
      </c>
      <c r="B91" s="36" t="s">
        <v>1086</v>
      </c>
      <c r="C91" s="35" t="s">
        <v>1087</v>
      </c>
      <c r="D91" s="35" t="s">
        <v>1088</v>
      </c>
      <c r="E91" s="35" t="s">
        <v>1349</v>
      </c>
      <c r="F91" s="36" t="s">
        <v>1350</v>
      </c>
      <c r="G91" s="36" t="s">
        <v>1089</v>
      </c>
      <c r="H91" s="37" t="s">
        <v>1129</v>
      </c>
      <c r="I91" s="37" t="s">
        <v>1351</v>
      </c>
      <c r="J91" s="38"/>
      <c r="K91" s="38"/>
      <c r="L91" s="39"/>
      <c r="M91" s="39"/>
      <c r="N91" s="39"/>
      <c r="O91" s="39">
        <f t="shared" si="18"/>
        <v>0</v>
      </c>
      <c r="P91" s="38" t="s">
        <v>1098</v>
      </c>
      <c r="Q91" s="38"/>
      <c r="R91" s="36" t="s">
        <v>1352</v>
      </c>
      <c r="S91" s="36" t="s">
        <v>1105</v>
      </c>
      <c r="T91" s="38" t="s">
        <v>1112</v>
      </c>
      <c r="U91" s="36" t="str">
        <f t="shared" si="19"/>
        <v>Not Included</v>
      </c>
      <c r="V91" s="36"/>
      <c r="W91" s="37"/>
      <c r="X91" s="40"/>
      <c r="Y91" s="40"/>
      <c r="Z91" s="40"/>
      <c r="AA91" s="40"/>
      <c r="AB91" s="40"/>
      <c r="AC91" s="40"/>
      <c r="AD91" s="40"/>
      <c r="AE91" s="40"/>
      <c r="AF91" s="40"/>
      <c r="AG91" s="40"/>
      <c r="AH91" s="40"/>
      <c r="AI91" s="40"/>
    </row>
    <row r="92" ht="103.5" customHeight="1">
      <c r="A92" s="35" t="s">
        <v>538</v>
      </c>
      <c r="B92" s="36" t="s">
        <v>1086</v>
      </c>
      <c r="C92" s="35" t="s">
        <v>1087</v>
      </c>
      <c r="D92" s="35" t="s">
        <v>1088</v>
      </c>
      <c r="E92" s="35" t="s">
        <v>1353</v>
      </c>
      <c r="F92" s="37"/>
      <c r="G92" s="36" t="s">
        <v>1089</v>
      </c>
      <c r="H92" s="37" t="s">
        <v>1129</v>
      </c>
      <c r="I92" s="37" t="s">
        <v>1354</v>
      </c>
      <c r="J92" s="38"/>
      <c r="K92" s="38"/>
      <c r="L92" s="39"/>
      <c r="M92" s="39"/>
      <c r="N92" s="39"/>
      <c r="O92" s="39">
        <f t="shared" si="18"/>
        <v>0</v>
      </c>
      <c r="P92" s="38" t="s">
        <v>1098</v>
      </c>
      <c r="Q92" s="38"/>
      <c r="R92" s="36" t="s">
        <v>1185</v>
      </c>
      <c r="S92" s="36" t="s">
        <v>1105</v>
      </c>
      <c r="T92" s="38" t="s">
        <v>1112</v>
      </c>
      <c r="U92" s="36" t="str">
        <f t="shared" si="19"/>
        <v>Not Included</v>
      </c>
      <c r="V92" s="36"/>
      <c r="W92" s="37"/>
      <c r="X92" s="40"/>
      <c r="Y92" s="40"/>
      <c r="Z92" s="40"/>
      <c r="AA92" s="40"/>
      <c r="AB92" s="40"/>
      <c r="AC92" s="40"/>
      <c r="AD92" s="40"/>
      <c r="AE92" s="40"/>
      <c r="AF92" s="40"/>
      <c r="AG92" s="40"/>
      <c r="AH92" s="40"/>
      <c r="AI92" s="40"/>
    </row>
    <row r="93" ht="15.75" customHeight="1">
      <c r="A93" s="35" t="s">
        <v>538</v>
      </c>
      <c r="B93" s="36" t="s">
        <v>1086</v>
      </c>
      <c r="C93" s="35" t="s">
        <v>1087</v>
      </c>
      <c r="D93" s="35" t="s">
        <v>1088</v>
      </c>
      <c r="E93" s="35" t="s">
        <v>1355</v>
      </c>
      <c r="F93" s="37"/>
      <c r="G93" s="36" t="s">
        <v>1089</v>
      </c>
      <c r="H93" s="37" t="s">
        <v>1129</v>
      </c>
      <c r="I93" s="37" t="s">
        <v>112</v>
      </c>
      <c r="J93" s="38" t="s">
        <v>1356</v>
      </c>
      <c r="K93" s="38"/>
      <c r="L93" s="39"/>
      <c r="M93" s="39"/>
      <c r="N93" s="39"/>
      <c r="O93" s="39">
        <f t="shared" si="18"/>
        <v>0</v>
      </c>
      <c r="P93" s="38" t="s">
        <v>1098</v>
      </c>
      <c r="Q93" s="38"/>
      <c r="R93" s="36" t="s">
        <v>1099</v>
      </c>
      <c r="S93" s="36" t="s">
        <v>1105</v>
      </c>
      <c r="T93" s="38" t="s">
        <v>1112</v>
      </c>
      <c r="U93" s="36" t="str">
        <f t="shared" si="19"/>
        <v>Not Included</v>
      </c>
      <c r="V93" s="36"/>
      <c r="W93" s="37"/>
      <c r="X93" s="40"/>
      <c r="Y93" s="40"/>
      <c r="Z93" s="40"/>
      <c r="AA93" s="40"/>
      <c r="AB93" s="40"/>
      <c r="AC93" s="40"/>
      <c r="AD93" s="40"/>
      <c r="AE93" s="40"/>
      <c r="AF93" s="40"/>
      <c r="AG93" s="40"/>
      <c r="AH93" s="40"/>
      <c r="AI93" s="40"/>
    </row>
    <row r="94" ht="15.75" customHeight="1">
      <c r="A94" s="35" t="s">
        <v>538</v>
      </c>
      <c r="B94" s="36" t="s">
        <v>1086</v>
      </c>
      <c r="C94" s="35" t="s">
        <v>1087</v>
      </c>
      <c r="D94" s="35" t="s">
        <v>1088</v>
      </c>
      <c r="E94" s="35" t="s">
        <v>1357</v>
      </c>
      <c r="F94" s="37"/>
      <c r="G94" s="36" t="s">
        <v>1089</v>
      </c>
      <c r="H94" s="37" t="s">
        <v>1129</v>
      </c>
      <c r="I94" s="37" t="s">
        <v>112</v>
      </c>
      <c r="J94" s="38" t="s">
        <v>1358</v>
      </c>
      <c r="K94" s="38"/>
      <c r="L94" s="39"/>
      <c r="M94" s="39"/>
      <c r="N94" s="39"/>
      <c r="O94" s="39">
        <f t="shared" si="18"/>
        <v>0</v>
      </c>
      <c r="P94" s="38" t="s">
        <v>1098</v>
      </c>
      <c r="Q94" s="38"/>
      <c r="R94" s="36" t="s">
        <v>1246</v>
      </c>
      <c r="S94" s="36" t="s">
        <v>1105</v>
      </c>
      <c r="T94" s="38" t="s">
        <v>1112</v>
      </c>
      <c r="U94" s="36" t="str">
        <f t="shared" si="19"/>
        <v>Not Included</v>
      </c>
      <c r="V94" s="36"/>
      <c r="W94" s="37"/>
      <c r="X94" s="40"/>
      <c r="Y94" s="40"/>
      <c r="Z94" s="40"/>
      <c r="AA94" s="40"/>
      <c r="AB94" s="40"/>
      <c r="AC94" s="40"/>
      <c r="AD94" s="40"/>
      <c r="AE94" s="40"/>
      <c r="AF94" s="40"/>
      <c r="AG94" s="40"/>
      <c r="AH94" s="40"/>
      <c r="AI94" s="40"/>
    </row>
    <row r="95" ht="147.0" customHeight="1">
      <c r="A95" s="35" t="s">
        <v>538</v>
      </c>
      <c r="B95" s="45" t="s">
        <v>1086</v>
      </c>
      <c r="C95" s="35" t="s">
        <v>1087</v>
      </c>
      <c r="D95" s="35" t="s">
        <v>1088</v>
      </c>
      <c r="E95" s="60" t="s">
        <v>1359</v>
      </c>
      <c r="F95" s="8"/>
      <c r="G95" s="40" t="s">
        <v>1167</v>
      </c>
      <c r="H95" s="8" t="s">
        <v>1162</v>
      </c>
      <c r="I95" s="8" t="s">
        <v>1360</v>
      </c>
      <c r="J95" s="40"/>
      <c r="K95" s="40"/>
      <c r="L95" s="61"/>
      <c r="M95" s="61"/>
      <c r="N95" s="61"/>
      <c r="O95" s="61"/>
      <c r="P95" s="38" t="s">
        <v>1098</v>
      </c>
      <c r="Q95" s="61"/>
      <c r="R95" s="45"/>
      <c r="S95" s="45"/>
      <c r="T95" s="45"/>
      <c r="U95" s="40"/>
      <c r="V95" s="45"/>
      <c r="W95" s="8"/>
      <c r="X95" s="40"/>
      <c r="Y95" s="40"/>
      <c r="Z95" s="40"/>
      <c r="AA95" s="40"/>
      <c r="AB95" s="40"/>
      <c r="AC95" s="40"/>
      <c r="AD95" s="40"/>
      <c r="AE95" s="40"/>
      <c r="AF95" s="40"/>
      <c r="AG95" s="40"/>
      <c r="AH95" s="40"/>
      <c r="AI95" s="40"/>
    </row>
    <row r="96" ht="109.5" customHeight="1">
      <c r="A96" s="35" t="s">
        <v>538</v>
      </c>
      <c r="B96" s="45" t="s">
        <v>1086</v>
      </c>
      <c r="C96" s="35" t="s">
        <v>1087</v>
      </c>
      <c r="D96" s="35" t="s">
        <v>1088</v>
      </c>
      <c r="E96" s="60" t="s">
        <v>1361</v>
      </c>
      <c r="F96" s="8"/>
      <c r="G96" s="40" t="s">
        <v>1167</v>
      </c>
      <c r="H96" s="8" t="s">
        <v>1314</v>
      </c>
      <c r="I96" s="8" t="s">
        <v>1362</v>
      </c>
      <c r="J96" s="40"/>
      <c r="K96" s="40"/>
      <c r="L96" s="61"/>
      <c r="M96" s="61"/>
      <c r="N96" s="61"/>
      <c r="O96" s="61"/>
      <c r="P96" s="38" t="s">
        <v>1098</v>
      </c>
      <c r="Q96" s="61"/>
      <c r="R96" s="45"/>
      <c r="S96" s="45"/>
      <c r="T96" s="45"/>
      <c r="U96" s="40"/>
      <c r="V96" s="45"/>
      <c r="W96" s="8"/>
      <c r="X96" s="40"/>
      <c r="Y96" s="40"/>
      <c r="Z96" s="40"/>
      <c r="AA96" s="40"/>
      <c r="AB96" s="40"/>
      <c r="AC96" s="40"/>
      <c r="AD96" s="40"/>
      <c r="AE96" s="40"/>
      <c r="AF96" s="40"/>
      <c r="AG96" s="40"/>
      <c r="AH96" s="40"/>
      <c r="AI96" s="40"/>
    </row>
    <row r="97" ht="15.75" customHeight="1">
      <c r="A97" s="35" t="s">
        <v>538</v>
      </c>
      <c r="B97" s="45" t="s">
        <v>1086</v>
      </c>
      <c r="C97" s="35" t="s">
        <v>1087</v>
      </c>
      <c r="D97" s="35" t="s">
        <v>1088</v>
      </c>
      <c r="E97" s="60" t="s">
        <v>1363</v>
      </c>
      <c r="F97" s="8"/>
      <c r="G97" s="40" t="s">
        <v>1167</v>
      </c>
      <c r="H97" s="8" t="s">
        <v>1314</v>
      </c>
      <c r="I97" s="8" t="s">
        <v>1364</v>
      </c>
      <c r="J97" s="40"/>
      <c r="K97" s="40"/>
      <c r="L97" s="61"/>
      <c r="M97" s="61"/>
      <c r="N97" s="61"/>
      <c r="O97" s="61"/>
      <c r="P97" s="38" t="s">
        <v>1098</v>
      </c>
      <c r="Q97" s="61"/>
      <c r="R97" s="45"/>
      <c r="S97" s="45"/>
      <c r="T97" s="45"/>
      <c r="U97" s="40"/>
      <c r="V97" s="45"/>
      <c r="W97" s="8"/>
      <c r="X97" s="40"/>
      <c r="Y97" s="40"/>
      <c r="Z97" s="40"/>
      <c r="AA97" s="40"/>
      <c r="AB97" s="40"/>
      <c r="AC97" s="40"/>
      <c r="AD97" s="40"/>
      <c r="AE97" s="40"/>
      <c r="AF97" s="40"/>
      <c r="AG97" s="40"/>
      <c r="AH97" s="40"/>
      <c r="AI97" s="40"/>
    </row>
    <row r="98" ht="15.75" customHeight="1">
      <c r="A98" s="35" t="s">
        <v>538</v>
      </c>
      <c r="B98" s="45" t="s">
        <v>1086</v>
      </c>
      <c r="C98" s="35" t="s">
        <v>1087</v>
      </c>
      <c r="D98" s="35" t="s">
        <v>1088</v>
      </c>
      <c r="E98" s="60" t="s">
        <v>1365</v>
      </c>
      <c r="F98" s="8"/>
      <c r="G98" s="40" t="s">
        <v>1167</v>
      </c>
      <c r="H98" s="8" t="s">
        <v>1097</v>
      </c>
      <c r="I98" s="8" t="s">
        <v>1366</v>
      </c>
      <c r="J98" s="40" t="s">
        <v>1367</v>
      </c>
      <c r="K98" s="40"/>
      <c r="L98" s="61"/>
      <c r="M98" s="61"/>
      <c r="N98" s="61"/>
      <c r="O98" s="61"/>
      <c r="P98" s="38" t="s">
        <v>1098</v>
      </c>
      <c r="Q98" s="61"/>
      <c r="R98" s="45"/>
      <c r="S98" s="45"/>
      <c r="T98" s="45"/>
      <c r="U98" s="40"/>
      <c r="V98" s="45"/>
      <c r="W98" s="8"/>
      <c r="X98" s="40"/>
      <c r="Y98" s="40"/>
      <c r="Z98" s="40"/>
      <c r="AA98" s="40"/>
      <c r="AB98" s="40"/>
      <c r="AC98" s="40"/>
      <c r="AD98" s="40"/>
      <c r="AE98" s="40"/>
      <c r="AF98" s="40"/>
      <c r="AG98" s="40"/>
      <c r="AH98" s="40"/>
      <c r="AI98" s="40"/>
    </row>
    <row r="99" ht="15.75" customHeight="1">
      <c r="A99" s="36" t="s">
        <v>538</v>
      </c>
      <c r="B99" s="36" t="s">
        <v>1086</v>
      </c>
      <c r="C99" s="35" t="s">
        <v>1087</v>
      </c>
      <c r="D99" s="35" t="s">
        <v>1088</v>
      </c>
      <c r="E99" s="62" t="s">
        <v>1368</v>
      </c>
      <c r="F99" s="62" t="s">
        <v>1368</v>
      </c>
      <c r="G99" s="38" t="s">
        <v>1089</v>
      </c>
      <c r="H99" s="37" t="s">
        <v>1369</v>
      </c>
      <c r="I99" s="37" t="s">
        <v>1370</v>
      </c>
      <c r="J99" s="52"/>
      <c r="K99" s="52"/>
      <c r="L99" s="39"/>
      <c r="M99" s="39"/>
      <c r="N99" s="39">
        <v>1075000.0</v>
      </c>
      <c r="O99" s="39">
        <f>M99+N99</f>
        <v>1075000</v>
      </c>
      <c r="P99" s="35">
        <v>1.0</v>
      </c>
      <c r="Q99" s="36"/>
      <c r="R99" s="45" t="s">
        <v>1371</v>
      </c>
      <c r="S99" s="36" t="s">
        <v>1100</v>
      </c>
      <c r="T99" s="36" t="s">
        <v>1112</v>
      </c>
      <c r="U99" s="36" t="str">
        <f>IFS(
    P99="No Funding Goal","Not Included",
    P99="Not Applicable","Not Included",
    P99&gt;=0.75,"1. Easy",
    AND(P99&lt;0.75,P99&gt;=0.5),"2. Moderate",
    P99&lt;0.5,"3. Difficult"
)</f>
        <v>1. Easy</v>
      </c>
      <c r="V99" s="37" t="s">
        <v>1372</v>
      </c>
      <c r="W99" s="37" t="s">
        <v>1108</v>
      </c>
      <c r="X99" s="40"/>
      <c r="Y99" s="40"/>
      <c r="Z99" s="40"/>
      <c r="AA99" s="40"/>
      <c r="AB99" s="40"/>
      <c r="AC99" s="40"/>
      <c r="AD99" s="40"/>
      <c r="AE99" s="40"/>
      <c r="AF99" s="40"/>
      <c r="AG99" s="40"/>
      <c r="AH99" s="40"/>
      <c r="AI99" s="45"/>
    </row>
    <row r="100" ht="15.75" customHeight="1">
      <c r="A100" s="35" t="s">
        <v>538</v>
      </c>
      <c r="B100" s="45" t="s">
        <v>1086</v>
      </c>
      <c r="C100" s="35" t="s">
        <v>1087</v>
      </c>
      <c r="D100" s="35" t="s">
        <v>1088</v>
      </c>
      <c r="E100" s="60" t="s">
        <v>1373</v>
      </c>
      <c r="F100" s="8"/>
      <c r="G100" s="38" t="s">
        <v>1139</v>
      </c>
      <c r="H100" s="8" t="s">
        <v>1139</v>
      </c>
      <c r="I100" s="8" t="s">
        <v>1374</v>
      </c>
      <c r="J100" s="40" t="s">
        <v>1375</v>
      </c>
      <c r="K100" s="40"/>
      <c r="L100" s="61"/>
      <c r="M100" s="61"/>
      <c r="N100" s="61"/>
      <c r="O100" s="61"/>
      <c r="P100" s="38" t="s">
        <v>1098</v>
      </c>
      <c r="Q100" s="61"/>
      <c r="R100" s="8"/>
      <c r="S100" s="45"/>
      <c r="T100" s="45"/>
      <c r="U100" s="40"/>
      <c r="V100" s="45"/>
      <c r="W100" s="8"/>
      <c r="X100" s="40"/>
      <c r="Y100" s="40"/>
      <c r="Z100" s="40"/>
      <c r="AA100" s="40"/>
      <c r="AB100" s="40"/>
      <c r="AC100" s="40"/>
      <c r="AD100" s="40"/>
      <c r="AE100" s="40"/>
      <c r="AF100" s="40"/>
      <c r="AG100" s="40"/>
      <c r="AH100" s="40"/>
      <c r="AI100" s="40"/>
    </row>
    <row r="101" ht="15.75" customHeight="1">
      <c r="A101" s="35" t="s">
        <v>538</v>
      </c>
      <c r="B101" s="36" t="s">
        <v>1086</v>
      </c>
      <c r="C101" s="35" t="s">
        <v>1087</v>
      </c>
      <c r="D101" s="35" t="s">
        <v>1088</v>
      </c>
      <c r="E101" s="35" t="s">
        <v>1376</v>
      </c>
      <c r="F101" s="37"/>
      <c r="G101" s="38" t="s">
        <v>1139</v>
      </c>
      <c r="H101" s="37" t="s">
        <v>1139</v>
      </c>
      <c r="I101" s="37" t="s">
        <v>1377</v>
      </c>
      <c r="J101" s="38"/>
      <c r="K101" s="38"/>
      <c r="L101" s="39"/>
      <c r="M101" s="39"/>
      <c r="N101" s="39"/>
      <c r="O101" s="39"/>
      <c r="P101" s="38" t="s">
        <v>1098</v>
      </c>
      <c r="Q101" s="39"/>
      <c r="R101" s="36"/>
      <c r="S101" s="36"/>
      <c r="T101" s="36"/>
      <c r="U101" s="38"/>
      <c r="V101" s="36"/>
      <c r="W101" s="37"/>
      <c r="X101" s="40"/>
      <c r="Y101" s="40"/>
      <c r="Z101" s="40"/>
      <c r="AA101" s="40"/>
      <c r="AB101" s="40"/>
      <c r="AC101" s="40"/>
      <c r="AD101" s="40"/>
      <c r="AE101" s="40"/>
      <c r="AF101" s="40"/>
      <c r="AG101" s="40"/>
      <c r="AH101" s="40"/>
      <c r="AI101" s="40"/>
    </row>
    <row r="102" ht="15.75" customHeight="1">
      <c r="A102" s="35" t="s">
        <v>538</v>
      </c>
      <c r="B102" s="36" t="s">
        <v>1086</v>
      </c>
      <c r="C102" s="35" t="s">
        <v>1087</v>
      </c>
      <c r="D102" s="35" t="s">
        <v>1088</v>
      </c>
      <c r="E102" s="35" t="s">
        <v>1378</v>
      </c>
      <c r="F102" s="37"/>
      <c r="G102" s="38" t="s">
        <v>1139</v>
      </c>
      <c r="H102" s="37" t="s">
        <v>1139</v>
      </c>
      <c r="I102" s="37" t="s">
        <v>1379</v>
      </c>
      <c r="J102" s="38"/>
      <c r="K102" s="38"/>
      <c r="L102" s="39"/>
      <c r="M102" s="39"/>
      <c r="N102" s="39"/>
      <c r="O102" s="39"/>
      <c r="P102" s="38" t="s">
        <v>1098</v>
      </c>
      <c r="Q102" s="39"/>
      <c r="R102" s="36"/>
      <c r="S102" s="36"/>
      <c r="T102" s="36"/>
      <c r="U102" s="38"/>
      <c r="V102" s="36"/>
      <c r="W102" s="37"/>
      <c r="X102" s="40"/>
      <c r="Y102" s="40"/>
      <c r="Z102" s="40"/>
      <c r="AA102" s="40"/>
      <c r="AB102" s="40"/>
      <c r="AC102" s="40"/>
      <c r="AD102" s="40"/>
      <c r="AE102" s="40"/>
      <c r="AF102" s="40"/>
      <c r="AG102" s="40"/>
      <c r="AH102" s="40"/>
      <c r="AI102" s="40"/>
    </row>
    <row r="103" ht="62.25" customHeight="1">
      <c r="A103" s="35" t="s">
        <v>538</v>
      </c>
      <c r="B103" s="36" t="s">
        <v>1086</v>
      </c>
      <c r="C103" s="35" t="s">
        <v>1087</v>
      </c>
      <c r="D103" s="35" t="s">
        <v>1088</v>
      </c>
      <c r="E103" s="35" t="s">
        <v>1380</v>
      </c>
      <c r="F103" s="37"/>
      <c r="G103" s="38" t="s">
        <v>1139</v>
      </c>
      <c r="H103" s="37" t="s">
        <v>1139</v>
      </c>
      <c r="I103" s="37" t="s">
        <v>1381</v>
      </c>
      <c r="J103" s="38"/>
      <c r="K103" s="38"/>
      <c r="L103" s="39"/>
      <c r="M103" s="39"/>
      <c r="N103" s="39"/>
      <c r="O103" s="39"/>
      <c r="P103" s="38" t="s">
        <v>1098</v>
      </c>
      <c r="Q103" s="39"/>
      <c r="R103" s="36"/>
      <c r="S103" s="36"/>
      <c r="T103" s="36"/>
      <c r="U103" s="38"/>
      <c r="V103" s="36"/>
      <c r="W103" s="37"/>
      <c r="X103" s="40"/>
      <c r="Y103" s="40"/>
      <c r="Z103" s="40"/>
      <c r="AA103" s="40"/>
      <c r="AB103" s="40"/>
      <c r="AC103" s="40"/>
      <c r="AD103" s="40"/>
      <c r="AE103" s="40"/>
      <c r="AF103" s="40"/>
      <c r="AG103" s="40"/>
      <c r="AH103" s="40"/>
      <c r="AI103" s="40"/>
    </row>
    <row r="104" ht="15.75" customHeight="1">
      <c r="A104" s="35" t="s">
        <v>538</v>
      </c>
      <c r="B104" s="36" t="s">
        <v>1086</v>
      </c>
      <c r="C104" s="35" t="s">
        <v>1087</v>
      </c>
      <c r="D104" s="35" t="s">
        <v>1088</v>
      </c>
      <c r="E104" s="35" t="s">
        <v>1382</v>
      </c>
      <c r="F104" s="37"/>
      <c r="G104" s="38" t="s">
        <v>1139</v>
      </c>
      <c r="H104" s="37" t="s">
        <v>1139</v>
      </c>
      <c r="I104" s="37" t="s">
        <v>1136</v>
      </c>
      <c r="J104" s="38" t="s">
        <v>1131</v>
      </c>
      <c r="K104" s="38"/>
      <c r="L104" s="39"/>
      <c r="M104" s="39"/>
      <c r="N104" s="39"/>
      <c r="O104" s="39"/>
      <c r="P104" s="38" t="s">
        <v>1098</v>
      </c>
      <c r="Q104" s="39"/>
      <c r="R104" s="36"/>
      <c r="S104" s="36"/>
      <c r="T104" s="36"/>
      <c r="U104" s="38"/>
      <c r="V104" s="36"/>
      <c r="W104" s="37"/>
      <c r="X104" s="40"/>
      <c r="Y104" s="40"/>
      <c r="Z104" s="40"/>
      <c r="AA104" s="40"/>
      <c r="AB104" s="40"/>
      <c r="AC104" s="40"/>
      <c r="AD104" s="40"/>
      <c r="AE104" s="40"/>
      <c r="AF104" s="40"/>
      <c r="AG104" s="40"/>
      <c r="AH104" s="40"/>
      <c r="AI104" s="40"/>
    </row>
    <row r="105" ht="15.75" customHeight="1">
      <c r="A105" s="35" t="s">
        <v>538</v>
      </c>
      <c r="B105" s="36" t="s">
        <v>1086</v>
      </c>
      <c r="C105" s="35" t="s">
        <v>1087</v>
      </c>
      <c r="D105" s="35" t="s">
        <v>1088</v>
      </c>
      <c r="E105" s="36" t="s">
        <v>1383</v>
      </c>
      <c r="F105" s="37"/>
      <c r="G105" s="38" t="s">
        <v>1139</v>
      </c>
      <c r="H105" s="37" t="s">
        <v>1139</v>
      </c>
      <c r="I105" s="37" t="s">
        <v>1384</v>
      </c>
      <c r="J105" s="38" t="s">
        <v>1385</v>
      </c>
      <c r="K105" s="38"/>
      <c r="L105" s="39"/>
      <c r="M105" s="39"/>
      <c r="N105" s="39"/>
      <c r="O105" s="39"/>
      <c r="P105" s="38" t="s">
        <v>1098</v>
      </c>
      <c r="Q105" s="39"/>
      <c r="R105" s="36"/>
      <c r="S105" s="36"/>
      <c r="T105" s="36"/>
      <c r="U105" s="38"/>
      <c r="V105" s="36"/>
      <c r="W105" s="37"/>
      <c r="X105" s="40"/>
      <c r="Y105" s="40"/>
      <c r="Z105" s="40"/>
      <c r="AA105" s="40"/>
      <c r="AB105" s="40"/>
      <c r="AC105" s="40"/>
      <c r="AD105" s="40"/>
      <c r="AE105" s="40"/>
      <c r="AF105" s="40"/>
      <c r="AG105" s="40"/>
      <c r="AH105" s="40"/>
      <c r="AI105" s="40"/>
    </row>
    <row r="106" ht="15.75" customHeight="1">
      <c r="A106" s="35" t="s">
        <v>538</v>
      </c>
      <c r="B106" s="36" t="s">
        <v>1086</v>
      </c>
      <c r="C106" s="35" t="s">
        <v>1087</v>
      </c>
      <c r="D106" s="35" t="s">
        <v>1088</v>
      </c>
      <c r="E106" s="35" t="s">
        <v>1386</v>
      </c>
      <c r="F106" s="37"/>
      <c r="G106" s="38" t="s">
        <v>1139</v>
      </c>
      <c r="H106" s="37" t="s">
        <v>1139</v>
      </c>
      <c r="I106" s="37" t="s">
        <v>1387</v>
      </c>
      <c r="J106" s="38"/>
      <c r="K106" s="38"/>
      <c r="L106" s="39"/>
      <c r="M106" s="39"/>
      <c r="N106" s="39"/>
      <c r="O106" s="39"/>
      <c r="P106" s="38" t="s">
        <v>1098</v>
      </c>
      <c r="Q106" s="39"/>
      <c r="R106" s="36"/>
      <c r="S106" s="36"/>
      <c r="T106" s="36"/>
      <c r="U106" s="38"/>
      <c r="V106" s="36"/>
      <c r="W106" s="37"/>
      <c r="X106" s="40"/>
      <c r="Y106" s="40"/>
      <c r="Z106" s="40"/>
      <c r="AA106" s="40"/>
      <c r="AB106" s="40"/>
      <c r="AC106" s="40"/>
      <c r="AD106" s="40"/>
      <c r="AE106" s="40"/>
      <c r="AF106" s="40"/>
      <c r="AG106" s="40"/>
      <c r="AH106" s="40"/>
      <c r="AI106" s="40"/>
    </row>
    <row r="107" ht="15.75" customHeight="1">
      <c r="A107" s="36" t="s">
        <v>82</v>
      </c>
      <c r="B107" s="35" t="s">
        <v>1261</v>
      </c>
      <c r="C107" s="35" t="s">
        <v>1262</v>
      </c>
      <c r="D107" s="35" t="s">
        <v>1263</v>
      </c>
      <c r="E107" s="36" t="s">
        <v>97</v>
      </c>
      <c r="F107" s="36" t="s">
        <v>97</v>
      </c>
      <c r="G107" s="36" t="s">
        <v>1089</v>
      </c>
      <c r="H107" s="37" t="s">
        <v>1145</v>
      </c>
      <c r="I107" s="37"/>
      <c r="J107" s="38"/>
      <c r="K107" s="38"/>
      <c r="L107" s="39">
        <v>0.0</v>
      </c>
      <c r="M107" s="39">
        <v>0.0</v>
      </c>
      <c r="N107" s="56">
        <v>1575095.3</v>
      </c>
      <c r="O107" s="39">
        <f t="shared" ref="O107:O121" si="20">M107+N107</f>
        <v>1575095.3</v>
      </c>
      <c r="P107" s="36">
        <f>IF(AND((M107+N107)&gt;0,L107=0),1,
   IF(AND((M107+N107)=0,L107=0),0,
      MIN((M107+N107)/L107,1)
   )
)
</f>
        <v>1</v>
      </c>
      <c r="Q107" s="36"/>
      <c r="R107" s="36" t="s">
        <v>1146</v>
      </c>
      <c r="S107" s="36" t="s">
        <v>1100</v>
      </c>
      <c r="T107" s="38" t="s">
        <v>1112</v>
      </c>
      <c r="U107" s="36" t="str">
        <f t="shared" ref="U107:U121" si="21">IFS(
    P107="No Funding Goal","Not Included",
    P107="Not Applicable","Not Included",
    P107&gt;=0.75,"1. Easy",
    AND(P107&lt;0.75,P107&gt;=0.5),"2. Moderate",
    P107&lt;0.5,"3. Difficult"
)</f>
        <v>1. Easy</v>
      </c>
      <c r="V107" s="36" t="s">
        <v>1388</v>
      </c>
      <c r="W107" s="36" t="s">
        <v>1389</v>
      </c>
      <c r="X107" s="51"/>
      <c r="Y107" s="51"/>
      <c r="Z107" s="51"/>
      <c r="AA107" s="51"/>
      <c r="AB107" s="51"/>
      <c r="AC107" s="51"/>
      <c r="AD107" s="51"/>
      <c r="AE107" s="51"/>
      <c r="AF107" s="51"/>
      <c r="AG107" s="51"/>
      <c r="AH107" s="51"/>
    </row>
    <row r="108" ht="15.75" customHeight="1">
      <c r="A108" s="36" t="s">
        <v>82</v>
      </c>
      <c r="B108" s="35" t="s">
        <v>1261</v>
      </c>
      <c r="C108" s="35" t="s">
        <v>1262</v>
      </c>
      <c r="D108" s="35" t="s">
        <v>1263</v>
      </c>
      <c r="E108" s="36" t="s">
        <v>101</v>
      </c>
      <c r="F108" s="36" t="s">
        <v>101</v>
      </c>
      <c r="G108" s="36" t="s">
        <v>1089</v>
      </c>
      <c r="H108" s="38" t="s">
        <v>1157</v>
      </c>
      <c r="I108" s="38" t="s">
        <v>1390</v>
      </c>
      <c r="J108" s="38" t="s">
        <v>1391</v>
      </c>
      <c r="K108" s="38"/>
      <c r="L108" s="42"/>
      <c r="M108" s="42">
        <v>6117342.94</v>
      </c>
      <c r="N108" s="42">
        <f> 4893161.59 +769725.15</f>
        <v>5662886.74</v>
      </c>
      <c r="O108" s="39">
        <f t="shared" si="20"/>
        <v>11780229.68</v>
      </c>
      <c r="P108" s="36" t="str">
        <f>IF(AND((M108+N108)&gt;0,L108=0),"1",IF(AND((M108+N108)=0,L108=0),0,(M108+N108)/L108))</f>
        <v>1</v>
      </c>
      <c r="Q108" s="36"/>
      <c r="R108" s="38" t="s">
        <v>1092</v>
      </c>
      <c r="S108" s="36" t="s">
        <v>1093</v>
      </c>
      <c r="T108" s="38" t="s">
        <v>1112</v>
      </c>
      <c r="U108" s="36" t="str">
        <f t="shared" si="21"/>
        <v>1. Easy</v>
      </c>
      <c r="V108" s="38" t="s">
        <v>1392</v>
      </c>
      <c r="W108" s="38" t="s">
        <v>1307</v>
      </c>
    </row>
    <row r="109" ht="15.75" customHeight="1">
      <c r="A109" s="36" t="s">
        <v>82</v>
      </c>
      <c r="B109" s="35" t="s">
        <v>1261</v>
      </c>
      <c r="C109" s="35" t="s">
        <v>1262</v>
      </c>
      <c r="D109" s="35" t="s">
        <v>1263</v>
      </c>
      <c r="E109" s="63" t="s">
        <v>1393</v>
      </c>
      <c r="F109" s="63" t="s">
        <v>1393</v>
      </c>
      <c r="G109" s="38" t="s">
        <v>1089</v>
      </c>
      <c r="H109" s="38" t="s">
        <v>1162</v>
      </c>
      <c r="I109" s="38" t="s">
        <v>1394</v>
      </c>
      <c r="J109" s="38"/>
      <c r="K109" s="57"/>
      <c r="L109" s="42"/>
      <c r="M109" s="42"/>
      <c r="N109" s="42"/>
      <c r="O109" s="39">
        <f t="shared" si="20"/>
        <v>0</v>
      </c>
      <c r="P109" s="38" t="s">
        <v>1098</v>
      </c>
      <c r="Q109" s="38"/>
      <c r="R109" s="38" t="s">
        <v>1395</v>
      </c>
      <c r="S109" s="36" t="s">
        <v>1105</v>
      </c>
      <c r="T109" s="38" t="s">
        <v>1112</v>
      </c>
      <c r="U109" s="36" t="str">
        <f t="shared" si="21"/>
        <v>Not Included</v>
      </c>
      <c r="V109" s="38"/>
      <c r="W109" s="37" t="s">
        <v>1396</v>
      </c>
      <c r="X109" s="48"/>
      <c r="Y109" s="48"/>
      <c r="Z109" s="48"/>
      <c r="AA109" s="48"/>
      <c r="AB109" s="48"/>
      <c r="AC109" s="48"/>
      <c r="AD109" s="48"/>
      <c r="AE109" s="48"/>
      <c r="AF109" s="48"/>
      <c r="AG109" s="48"/>
      <c r="AH109" s="48"/>
      <c r="AI109" s="48"/>
    </row>
    <row r="110" ht="15.75" customHeight="1">
      <c r="A110" s="36" t="s">
        <v>82</v>
      </c>
      <c r="B110" s="35" t="s">
        <v>1261</v>
      </c>
      <c r="C110" s="35" t="s">
        <v>1262</v>
      </c>
      <c r="D110" s="35" t="s">
        <v>1263</v>
      </c>
      <c r="E110" s="63" t="s">
        <v>1397</v>
      </c>
      <c r="F110" s="63" t="s">
        <v>1397</v>
      </c>
      <c r="G110" s="36" t="s">
        <v>1089</v>
      </c>
      <c r="H110" s="38" t="s">
        <v>1117</v>
      </c>
      <c r="I110" s="38" t="s">
        <v>1398</v>
      </c>
      <c r="J110" s="38" t="s">
        <v>1399</v>
      </c>
      <c r="K110" s="38"/>
      <c r="L110" s="42"/>
      <c r="M110" s="39"/>
      <c r="N110" s="39"/>
      <c r="O110" s="39">
        <f t="shared" si="20"/>
        <v>0</v>
      </c>
      <c r="P110" s="38" t="s">
        <v>1098</v>
      </c>
      <c r="Q110" s="38"/>
      <c r="R110" s="37" t="s">
        <v>1092</v>
      </c>
      <c r="S110" s="36" t="s">
        <v>1105</v>
      </c>
      <c r="T110" s="36" t="s">
        <v>1112</v>
      </c>
      <c r="U110" s="36" t="str">
        <f t="shared" si="21"/>
        <v>Not Included</v>
      </c>
      <c r="V110" s="64"/>
      <c r="W110" s="37" t="s">
        <v>1400</v>
      </c>
      <c r="X110" s="40"/>
      <c r="Y110" s="40"/>
      <c r="Z110" s="40"/>
      <c r="AA110" s="40"/>
      <c r="AB110" s="40"/>
      <c r="AC110" s="40"/>
      <c r="AD110" s="40"/>
      <c r="AE110" s="40"/>
      <c r="AF110" s="40"/>
      <c r="AG110" s="40"/>
      <c r="AH110" s="40"/>
      <c r="AI110" s="65"/>
    </row>
    <row r="111" ht="15.75" customHeight="1">
      <c r="A111" s="36" t="s">
        <v>82</v>
      </c>
      <c r="B111" s="35" t="s">
        <v>1261</v>
      </c>
      <c r="C111" s="35" t="s">
        <v>1262</v>
      </c>
      <c r="D111" s="35" t="s">
        <v>1263</v>
      </c>
      <c r="E111" s="66" t="s">
        <v>1401</v>
      </c>
      <c r="F111" s="63" t="s">
        <v>1402</v>
      </c>
      <c r="G111" s="36" t="s">
        <v>1089</v>
      </c>
      <c r="H111" s="38" t="s">
        <v>1117</v>
      </c>
      <c r="I111" s="38" t="s">
        <v>1398</v>
      </c>
      <c r="J111" s="38" t="s">
        <v>1403</v>
      </c>
      <c r="K111" s="38"/>
      <c r="L111" s="42"/>
      <c r="M111" s="39"/>
      <c r="N111" s="39"/>
      <c r="O111" s="39">
        <f t="shared" si="20"/>
        <v>0</v>
      </c>
      <c r="P111" s="38" t="s">
        <v>1098</v>
      </c>
      <c r="Q111" s="38"/>
      <c r="R111" s="37" t="s">
        <v>1092</v>
      </c>
      <c r="S111" s="36" t="s">
        <v>1105</v>
      </c>
      <c r="T111" s="36" t="s">
        <v>1112</v>
      </c>
      <c r="U111" s="36" t="str">
        <f t="shared" si="21"/>
        <v>Not Included</v>
      </c>
      <c r="V111" s="64"/>
      <c r="W111" s="37" t="s">
        <v>1404</v>
      </c>
      <c r="X111" s="40"/>
      <c r="Y111" s="40"/>
      <c r="Z111" s="40"/>
      <c r="AA111" s="40"/>
      <c r="AB111" s="40"/>
      <c r="AC111" s="40"/>
      <c r="AD111" s="40"/>
      <c r="AE111" s="40"/>
      <c r="AF111" s="40"/>
      <c r="AG111" s="40"/>
      <c r="AH111" s="40"/>
      <c r="AI111" s="65"/>
    </row>
    <row r="112" ht="15.75" customHeight="1">
      <c r="A112" s="36" t="s">
        <v>82</v>
      </c>
      <c r="B112" s="35" t="s">
        <v>1261</v>
      </c>
      <c r="C112" s="35" t="s">
        <v>1262</v>
      </c>
      <c r="D112" s="35" t="s">
        <v>1263</v>
      </c>
      <c r="E112" s="63" t="s">
        <v>1405</v>
      </c>
      <c r="F112" s="63" t="s">
        <v>1405</v>
      </c>
      <c r="G112" s="36" t="s">
        <v>1089</v>
      </c>
      <c r="H112" s="37" t="s">
        <v>1117</v>
      </c>
      <c r="I112" s="37" t="s">
        <v>1118</v>
      </c>
      <c r="J112" s="38"/>
      <c r="K112" s="38"/>
      <c r="L112" s="42"/>
      <c r="M112" s="39"/>
      <c r="N112" s="39"/>
      <c r="O112" s="39">
        <f t="shared" si="20"/>
        <v>0</v>
      </c>
      <c r="P112" s="38" t="s">
        <v>1098</v>
      </c>
      <c r="Q112" s="38"/>
      <c r="R112" s="36" t="s">
        <v>1092</v>
      </c>
      <c r="S112" s="36" t="s">
        <v>1105</v>
      </c>
      <c r="T112" s="36" t="s">
        <v>1112</v>
      </c>
      <c r="U112" s="36" t="str">
        <f t="shared" si="21"/>
        <v>Not Included</v>
      </c>
      <c r="V112" s="64" t="s">
        <v>1406</v>
      </c>
      <c r="W112" s="37" t="s">
        <v>1407</v>
      </c>
      <c r="X112" s="40"/>
      <c r="Y112" s="40"/>
      <c r="Z112" s="40"/>
      <c r="AA112" s="40"/>
      <c r="AB112" s="40"/>
      <c r="AC112" s="40"/>
      <c r="AD112" s="40"/>
      <c r="AE112" s="40"/>
      <c r="AF112" s="40"/>
      <c r="AG112" s="40"/>
      <c r="AH112" s="40"/>
      <c r="AI112" s="65"/>
    </row>
    <row r="113" ht="15.75" customHeight="1">
      <c r="A113" s="36" t="s">
        <v>82</v>
      </c>
      <c r="B113" s="35" t="s">
        <v>1261</v>
      </c>
      <c r="C113" s="35" t="s">
        <v>1262</v>
      </c>
      <c r="D113" s="35" t="s">
        <v>1263</v>
      </c>
      <c r="E113" s="63" t="s">
        <v>1408</v>
      </c>
      <c r="F113" s="63" t="s">
        <v>1408</v>
      </c>
      <c r="G113" s="36" t="s">
        <v>1089</v>
      </c>
      <c r="H113" s="37" t="s">
        <v>1117</v>
      </c>
      <c r="I113" s="37" t="s">
        <v>1118</v>
      </c>
      <c r="J113" s="38"/>
      <c r="K113" s="38"/>
      <c r="L113" s="42"/>
      <c r="M113" s="39"/>
      <c r="N113" s="39"/>
      <c r="O113" s="39">
        <f t="shared" si="20"/>
        <v>0</v>
      </c>
      <c r="P113" s="38" t="s">
        <v>1098</v>
      </c>
      <c r="Q113" s="38"/>
      <c r="R113" s="36" t="s">
        <v>1352</v>
      </c>
      <c r="S113" s="36" t="s">
        <v>1105</v>
      </c>
      <c r="T113" s="36" t="s">
        <v>1112</v>
      </c>
      <c r="U113" s="36" t="str">
        <f t="shared" si="21"/>
        <v>Not Included</v>
      </c>
      <c r="V113" s="64"/>
      <c r="W113" s="37" t="s">
        <v>1409</v>
      </c>
      <c r="X113" s="40"/>
      <c r="Y113" s="40"/>
      <c r="Z113" s="40"/>
      <c r="AA113" s="40"/>
      <c r="AB113" s="40"/>
      <c r="AC113" s="40"/>
      <c r="AD113" s="40"/>
      <c r="AE113" s="40"/>
      <c r="AF113" s="40"/>
      <c r="AG113" s="40"/>
      <c r="AH113" s="40"/>
      <c r="AI113" s="65"/>
    </row>
    <row r="114" ht="15.75" customHeight="1">
      <c r="A114" s="36" t="s">
        <v>82</v>
      </c>
      <c r="B114" s="35" t="s">
        <v>1261</v>
      </c>
      <c r="C114" s="35" t="s">
        <v>1262</v>
      </c>
      <c r="D114" s="35" t="s">
        <v>1263</v>
      </c>
      <c r="E114" s="66" t="s">
        <v>1410</v>
      </c>
      <c r="F114" s="63" t="s">
        <v>1411</v>
      </c>
      <c r="G114" s="36" t="s">
        <v>1089</v>
      </c>
      <c r="H114" s="37" t="s">
        <v>1117</v>
      </c>
      <c r="I114" s="37" t="s">
        <v>1412</v>
      </c>
      <c r="J114" s="38"/>
      <c r="K114" s="38"/>
      <c r="L114" s="42"/>
      <c r="M114" s="39"/>
      <c r="N114" s="39"/>
      <c r="O114" s="39">
        <f t="shared" si="20"/>
        <v>0</v>
      </c>
      <c r="P114" s="38" t="s">
        <v>1098</v>
      </c>
      <c r="Q114" s="38"/>
      <c r="R114" s="36" t="s">
        <v>1092</v>
      </c>
      <c r="S114" s="36" t="s">
        <v>1105</v>
      </c>
      <c r="T114" s="36" t="s">
        <v>1112</v>
      </c>
      <c r="U114" s="36" t="str">
        <f t="shared" si="21"/>
        <v>Not Included</v>
      </c>
      <c r="V114" s="64"/>
      <c r="W114" s="37" t="s">
        <v>1413</v>
      </c>
      <c r="X114" s="40"/>
      <c r="Y114" s="40"/>
      <c r="Z114" s="40"/>
      <c r="AA114" s="40"/>
      <c r="AB114" s="40"/>
      <c r="AC114" s="40"/>
      <c r="AD114" s="40"/>
      <c r="AE114" s="40"/>
      <c r="AF114" s="40"/>
      <c r="AG114" s="40"/>
      <c r="AH114" s="40"/>
      <c r="AI114" s="65"/>
    </row>
    <row r="115" ht="15.75" customHeight="1">
      <c r="A115" s="36" t="s">
        <v>82</v>
      </c>
      <c r="B115" s="35" t="s">
        <v>1261</v>
      </c>
      <c r="C115" s="35" t="s">
        <v>1262</v>
      </c>
      <c r="D115" s="35" t="s">
        <v>1263</v>
      </c>
      <c r="E115" s="36" t="s">
        <v>105</v>
      </c>
      <c r="F115" s="36" t="s">
        <v>105</v>
      </c>
      <c r="G115" s="36" t="s">
        <v>1089</v>
      </c>
      <c r="H115" s="38" t="s">
        <v>1117</v>
      </c>
      <c r="I115" s="38" t="s">
        <v>1214</v>
      </c>
      <c r="J115" s="38" t="s">
        <v>1414</v>
      </c>
      <c r="K115" s="38"/>
      <c r="L115" s="42"/>
      <c r="M115" s="42"/>
      <c r="N115" s="42"/>
      <c r="O115" s="39">
        <f t="shared" si="20"/>
        <v>0</v>
      </c>
      <c r="P115" s="38" t="s">
        <v>1098</v>
      </c>
      <c r="Q115" s="38"/>
      <c r="R115" s="37" t="s">
        <v>1415</v>
      </c>
      <c r="S115" s="38" t="s">
        <v>1105</v>
      </c>
      <c r="T115" s="36" t="s">
        <v>1112</v>
      </c>
      <c r="U115" s="36" t="str">
        <f t="shared" si="21"/>
        <v>Not Included</v>
      </c>
      <c r="V115" s="37" t="s">
        <v>1416</v>
      </c>
      <c r="W115" s="37" t="s">
        <v>1407</v>
      </c>
    </row>
    <row r="116" ht="15.75" customHeight="1">
      <c r="A116" s="36" t="s">
        <v>82</v>
      </c>
      <c r="B116" s="35" t="s">
        <v>1261</v>
      </c>
      <c r="C116" s="35" t="s">
        <v>1262</v>
      </c>
      <c r="D116" s="35" t="s">
        <v>1263</v>
      </c>
      <c r="E116" s="67" t="s">
        <v>1417</v>
      </c>
      <c r="F116" s="36"/>
      <c r="G116" s="36" t="str">
        <f t="shared" ref="G116:G119" si="22">IF(J116&lt;&gt;"CARB", "yes", "CARB")</f>
        <v>yes</v>
      </c>
      <c r="H116" s="37" t="s">
        <v>162</v>
      </c>
      <c r="I116" s="37" t="s">
        <v>1418</v>
      </c>
      <c r="J116" s="37" t="s">
        <v>1136</v>
      </c>
      <c r="K116" s="38"/>
      <c r="L116" s="42"/>
      <c r="M116" s="39"/>
      <c r="N116" s="39"/>
      <c r="O116" s="39">
        <f t="shared" si="20"/>
        <v>0</v>
      </c>
      <c r="P116" s="38" t="s">
        <v>1098</v>
      </c>
      <c r="Q116" s="38"/>
      <c r="R116" s="38" t="s">
        <v>1092</v>
      </c>
      <c r="S116" s="36" t="s">
        <v>1105</v>
      </c>
      <c r="T116" s="38" t="s">
        <v>1112</v>
      </c>
      <c r="U116" s="36" t="str">
        <f t="shared" si="21"/>
        <v>Not Included</v>
      </c>
      <c r="V116" s="64"/>
      <c r="W116" s="37" t="s">
        <v>1419</v>
      </c>
      <c r="X116" s="40"/>
      <c r="Y116" s="40"/>
      <c r="Z116" s="40"/>
      <c r="AA116" s="40"/>
      <c r="AB116" s="40"/>
      <c r="AC116" s="40"/>
      <c r="AD116" s="40"/>
      <c r="AE116" s="40"/>
      <c r="AF116" s="40"/>
      <c r="AG116" s="40"/>
      <c r="AH116" s="40"/>
      <c r="AI116" s="65"/>
    </row>
    <row r="117" ht="15.75" customHeight="1">
      <c r="A117" s="36" t="s">
        <v>82</v>
      </c>
      <c r="B117" s="35" t="s">
        <v>1261</v>
      </c>
      <c r="C117" s="35" t="s">
        <v>1262</v>
      </c>
      <c r="D117" s="35" t="s">
        <v>1263</v>
      </c>
      <c r="E117" s="63" t="s">
        <v>1420</v>
      </c>
      <c r="F117" s="63" t="s">
        <v>1420</v>
      </c>
      <c r="G117" s="36" t="str">
        <f t="shared" si="22"/>
        <v>yes</v>
      </c>
      <c r="H117" s="37" t="s">
        <v>162</v>
      </c>
      <c r="I117" s="37" t="s">
        <v>1122</v>
      </c>
      <c r="J117" s="38"/>
      <c r="K117" s="38"/>
      <c r="L117" s="42"/>
      <c r="M117" s="39"/>
      <c r="N117" s="39"/>
      <c r="O117" s="39">
        <f t="shared" si="20"/>
        <v>0</v>
      </c>
      <c r="P117" s="38" t="s">
        <v>1098</v>
      </c>
      <c r="Q117" s="38"/>
      <c r="R117" s="36" t="s">
        <v>1092</v>
      </c>
      <c r="S117" s="36" t="s">
        <v>1105</v>
      </c>
      <c r="T117" s="38" t="s">
        <v>1112</v>
      </c>
      <c r="U117" s="36" t="str">
        <f t="shared" si="21"/>
        <v>Not Included</v>
      </c>
      <c r="V117" s="64" t="s">
        <v>1421</v>
      </c>
      <c r="W117" s="37" t="s">
        <v>1407</v>
      </c>
      <c r="X117" s="40"/>
      <c r="Y117" s="40"/>
      <c r="Z117" s="40"/>
      <c r="AA117" s="40"/>
      <c r="AB117" s="40"/>
      <c r="AC117" s="40"/>
      <c r="AD117" s="40"/>
      <c r="AE117" s="40"/>
      <c r="AF117" s="40"/>
      <c r="AG117" s="40"/>
      <c r="AH117" s="40"/>
      <c r="AI117" s="65"/>
    </row>
    <row r="118" ht="55.5" customHeight="1">
      <c r="A118" s="36" t="s">
        <v>82</v>
      </c>
      <c r="B118" s="35" t="s">
        <v>1261</v>
      </c>
      <c r="C118" s="35" t="s">
        <v>1262</v>
      </c>
      <c r="D118" s="35" t="s">
        <v>1263</v>
      </c>
      <c r="E118" s="63" t="s">
        <v>1422</v>
      </c>
      <c r="F118" s="36"/>
      <c r="G118" s="36" t="str">
        <f t="shared" si="22"/>
        <v>yes</v>
      </c>
      <c r="H118" s="37" t="s">
        <v>162</v>
      </c>
      <c r="I118" s="37" t="s">
        <v>1423</v>
      </c>
      <c r="J118" s="38" t="s">
        <v>1424</v>
      </c>
      <c r="K118" s="38"/>
      <c r="L118" s="42"/>
      <c r="M118" s="39"/>
      <c r="N118" s="39"/>
      <c r="O118" s="39">
        <f t="shared" si="20"/>
        <v>0</v>
      </c>
      <c r="P118" s="38" t="s">
        <v>1098</v>
      </c>
      <c r="Q118" s="38"/>
      <c r="R118" s="38" t="s">
        <v>1092</v>
      </c>
      <c r="S118" s="36" t="s">
        <v>1105</v>
      </c>
      <c r="T118" s="38" t="s">
        <v>1112</v>
      </c>
      <c r="U118" s="36" t="str">
        <f t="shared" si="21"/>
        <v>Not Included</v>
      </c>
      <c r="V118" s="64"/>
      <c r="W118" s="37" t="s">
        <v>1425</v>
      </c>
      <c r="X118" s="40"/>
      <c r="Y118" s="40"/>
      <c r="Z118" s="40"/>
      <c r="AA118" s="40"/>
      <c r="AB118" s="40"/>
      <c r="AC118" s="40"/>
      <c r="AD118" s="40"/>
      <c r="AE118" s="40"/>
      <c r="AF118" s="40"/>
      <c r="AG118" s="40"/>
      <c r="AH118" s="40"/>
      <c r="AI118" s="65"/>
    </row>
    <row r="119" ht="15.75" customHeight="1">
      <c r="A119" s="36" t="s">
        <v>82</v>
      </c>
      <c r="B119" s="35" t="s">
        <v>1261</v>
      </c>
      <c r="C119" s="35" t="s">
        <v>1262</v>
      </c>
      <c r="D119" s="35" t="s">
        <v>1263</v>
      </c>
      <c r="E119" s="63" t="s">
        <v>1426</v>
      </c>
      <c r="F119" s="36"/>
      <c r="G119" s="36" t="str">
        <f t="shared" si="22"/>
        <v>yes</v>
      </c>
      <c r="H119" s="37" t="s">
        <v>162</v>
      </c>
      <c r="I119" s="37" t="s">
        <v>1423</v>
      </c>
      <c r="J119" s="38" t="s">
        <v>1427</v>
      </c>
      <c r="K119" s="38"/>
      <c r="L119" s="42"/>
      <c r="M119" s="39"/>
      <c r="N119" s="39"/>
      <c r="O119" s="39">
        <f t="shared" si="20"/>
        <v>0</v>
      </c>
      <c r="P119" s="38" t="s">
        <v>1098</v>
      </c>
      <c r="Q119" s="38"/>
      <c r="R119" s="38" t="s">
        <v>1243</v>
      </c>
      <c r="S119" s="36" t="s">
        <v>1105</v>
      </c>
      <c r="T119" s="38" t="s">
        <v>1112</v>
      </c>
      <c r="U119" s="36" t="str">
        <f t="shared" si="21"/>
        <v>Not Included</v>
      </c>
      <c r="V119" s="64"/>
      <c r="W119" s="37" t="s">
        <v>1428</v>
      </c>
      <c r="X119" s="40"/>
      <c r="Y119" s="40"/>
      <c r="Z119" s="40"/>
      <c r="AA119" s="40"/>
      <c r="AB119" s="40"/>
      <c r="AC119" s="40"/>
      <c r="AD119" s="40"/>
      <c r="AE119" s="40"/>
      <c r="AF119" s="40"/>
      <c r="AG119" s="40"/>
      <c r="AH119" s="40"/>
      <c r="AI119" s="65"/>
    </row>
    <row r="120" ht="53.25" customHeight="1">
      <c r="A120" s="36" t="s">
        <v>321</v>
      </c>
      <c r="B120" s="35" t="s">
        <v>1276</v>
      </c>
      <c r="C120" s="35" t="s">
        <v>1277</v>
      </c>
      <c r="D120" s="35" t="s">
        <v>1278</v>
      </c>
      <c r="E120" s="36" t="s">
        <v>360</v>
      </c>
      <c r="F120" s="36" t="s">
        <v>360</v>
      </c>
      <c r="G120" s="36" t="s">
        <v>1089</v>
      </c>
      <c r="H120" s="38" t="s">
        <v>1257</v>
      </c>
      <c r="I120" s="38" t="s">
        <v>1265</v>
      </c>
      <c r="J120" s="38" t="s">
        <v>1060</v>
      </c>
      <c r="K120" s="38"/>
      <c r="L120" s="42"/>
      <c r="M120" s="42">
        <f>1043730+ 
5000000 </f>
        <v>6043730</v>
      </c>
      <c r="N120" s="42">
        <v>0.0</v>
      </c>
      <c r="O120" s="39">
        <f t="shared" si="20"/>
        <v>6043730</v>
      </c>
      <c r="P120" s="36" t="str">
        <f t="shared" ref="P120:P121" si="23">IF(AND((M120+N120)&gt;0,L120=0),"1",IF(AND((M120+N120)=0,L120=0),0,(M120+N120)/L120))</f>
        <v>1</v>
      </c>
      <c r="Q120" s="36"/>
      <c r="R120" s="36" t="s">
        <v>1243</v>
      </c>
      <c r="S120" s="38" t="s">
        <v>1105</v>
      </c>
      <c r="T120" s="36" t="s">
        <v>1112</v>
      </c>
      <c r="U120" s="36" t="str">
        <f t="shared" si="21"/>
        <v>1. Easy</v>
      </c>
      <c r="V120" s="8"/>
      <c r="W120" s="36" t="s">
        <v>1429</v>
      </c>
      <c r="Z120" s="55"/>
    </row>
    <row r="121" ht="15.75" customHeight="1">
      <c r="A121" s="36" t="s">
        <v>82</v>
      </c>
      <c r="B121" s="35" t="s">
        <v>1261</v>
      </c>
      <c r="C121" s="35" t="s">
        <v>1262</v>
      </c>
      <c r="D121" s="35" t="s">
        <v>1263</v>
      </c>
      <c r="E121" s="36" t="s">
        <v>95</v>
      </c>
      <c r="F121" s="36" t="s">
        <v>95</v>
      </c>
      <c r="G121" s="36" t="s">
        <v>1089</v>
      </c>
      <c r="H121" s="38" t="s">
        <v>1430</v>
      </c>
      <c r="I121" s="38"/>
      <c r="J121" s="38"/>
      <c r="K121" s="38"/>
      <c r="L121" s="42"/>
      <c r="M121" s="42"/>
      <c r="N121" s="42">
        <v>314449.0</v>
      </c>
      <c r="O121" s="39">
        <f t="shared" si="20"/>
        <v>314449</v>
      </c>
      <c r="P121" s="36" t="str">
        <f t="shared" si="23"/>
        <v>1</v>
      </c>
      <c r="Q121" s="36"/>
      <c r="R121" s="37" t="s">
        <v>1415</v>
      </c>
      <c r="S121" s="38" t="s">
        <v>1093</v>
      </c>
      <c r="T121" s="38" t="s">
        <v>1112</v>
      </c>
      <c r="U121" s="36" t="str">
        <f t="shared" si="21"/>
        <v>1. Easy</v>
      </c>
      <c r="V121" s="38" t="s">
        <v>1431</v>
      </c>
      <c r="W121" s="38" t="s">
        <v>1307</v>
      </c>
      <c r="AI121" s="51"/>
    </row>
    <row r="122" ht="15.75" customHeight="1">
      <c r="A122" s="36" t="s">
        <v>82</v>
      </c>
      <c r="B122" s="35" t="s">
        <v>1261</v>
      </c>
      <c r="C122" s="35" t="s">
        <v>1262</v>
      </c>
      <c r="D122" s="35" t="s">
        <v>1263</v>
      </c>
      <c r="E122" s="36" t="s">
        <v>793</v>
      </c>
      <c r="F122" s="36" t="s">
        <v>794</v>
      </c>
      <c r="G122" s="36" t="str">
        <f t="shared" ref="G122:G125" si="24">IF(J122&lt;&gt;"CARB", "yes", "CARB")</f>
        <v>CARB</v>
      </c>
      <c r="H122" s="38" t="s">
        <v>162</v>
      </c>
      <c r="I122" s="38" t="s">
        <v>1432</v>
      </c>
      <c r="J122" s="38" t="s">
        <v>1116</v>
      </c>
      <c r="K122" s="38"/>
      <c r="L122" s="38"/>
      <c r="M122" s="38"/>
      <c r="N122" s="38"/>
      <c r="O122" s="38"/>
      <c r="P122" s="38" t="s">
        <v>1098</v>
      </c>
      <c r="Q122" s="38"/>
      <c r="R122" s="37"/>
      <c r="S122" s="38" t="s">
        <v>1105</v>
      </c>
      <c r="T122" s="38" t="s">
        <v>1112</v>
      </c>
      <c r="U122" s="38" t="s">
        <v>1433</v>
      </c>
      <c r="V122" s="38" t="s">
        <v>1434</v>
      </c>
      <c r="W122" s="38" t="s">
        <v>1435</v>
      </c>
    </row>
    <row r="123" ht="68.25" customHeight="1">
      <c r="A123" s="36" t="s">
        <v>82</v>
      </c>
      <c r="B123" s="35" t="s">
        <v>1261</v>
      </c>
      <c r="C123" s="35" t="s">
        <v>1262</v>
      </c>
      <c r="D123" s="35" t="s">
        <v>1263</v>
      </c>
      <c r="E123" s="36" t="s">
        <v>795</v>
      </c>
      <c r="F123" s="36" t="s">
        <v>796</v>
      </c>
      <c r="G123" s="36" t="str">
        <f t="shared" si="24"/>
        <v>CARB</v>
      </c>
      <c r="H123" s="38" t="s">
        <v>162</v>
      </c>
      <c r="I123" s="38" t="s">
        <v>1122</v>
      </c>
      <c r="J123" s="38" t="s">
        <v>1116</v>
      </c>
      <c r="K123" s="38"/>
      <c r="L123" s="38"/>
      <c r="M123" s="38"/>
      <c r="N123" s="38"/>
      <c r="O123" s="38"/>
      <c r="P123" s="38" t="s">
        <v>1098</v>
      </c>
      <c r="Q123" s="38"/>
      <c r="R123" s="37"/>
      <c r="S123" s="38" t="s">
        <v>1105</v>
      </c>
      <c r="T123" s="38" t="s">
        <v>1112</v>
      </c>
      <c r="U123" s="38" t="s">
        <v>1433</v>
      </c>
      <c r="V123" s="38" t="s">
        <v>1436</v>
      </c>
      <c r="W123" s="38" t="s">
        <v>1435</v>
      </c>
    </row>
    <row r="124" ht="128.25" customHeight="1">
      <c r="A124" s="36" t="s">
        <v>82</v>
      </c>
      <c r="B124" s="35" t="s">
        <v>1261</v>
      </c>
      <c r="C124" s="35" t="s">
        <v>1262</v>
      </c>
      <c r="D124" s="35" t="s">
        <v>1263</v>
      </c>
      <c r="E124" s="36" t="s">
        <v>614</v>
      </c>
      <c r="F124" s="36" t="s">
        <v>615</v>
      </c>
      <c r="G124" s="36" t="str">
        <f t="shared" si="24"/>
        <v>CARB</v>
      </c>
      <c r="H124" s="38" t="s">
        <v>162</v>
      </c>
      <c r="I124" s="38" t="s">
        <v>1122</v>
      </c>
      <c r="J124" s="38" t="s">
        <v>1116</v>
      </c>
      <c r="K124" s="38"/>
      <c r="L124" s="38"/>
      <c r="M124" s="38"/>
      <c r="N124" s="38"/>
      <c r="O124" s="38"/>
      <c r="P124" s="38" t="s">
        <v>1098</v>
      </c>
      <c r="Q124" s="38"/>
      <c r="R124" s="37"/>
      <c r="S124" s="38" t="s">
        <v>1105</v>
      </c>
      <c r="T124" s="38" t="s">
        <v>1112</v>
      </c>
      <c r="U124" s="38" t="s">
        <v>1433</v>
      </c>
      <c r="V124" s="38" t="s">
        <v>1437</v>
      </c>
      <c r="W124" s="38" t="s">
        <v>1435</v>
      </c>
    </row>
    <row r="125" ht="131.25" customHeight="1">
      <c r="A125" s="36" t="s">
        <v>82</v>
      </c>
      <c r="B125" s="35" t="s">
        <v>1261</v>
      </c>
      <c r="C125" s="35" t="s">
        <v>1262</v>
      </c>
      <c r="D125" s="35" t="s">
        <v>1263</v>
      </c>
      <c r="E125" s="36" t="s">
        <v>613</v>
      </c>
      <c r="F125" s="36" t="s">
        <v>613</v>
      </c>
      <c r="G125" s="36" t="str">
        <f t="shared" si="24"/>
        <v>CARB</v>
      </c>
      <c r="H125" s="38" t="s">
        <v>162</v>
      </c>
      <c r="I125" s="38" t="s">
        <v>1438</v>
      </c>
      <c r="J125" s="38" t="s">
        <v>1116</v>
      </c>
      <c r="K125" s="38"/>
      <c r="L125" s="38"/>
      <c r="M125" s="38"/>
      <c r="N125" s="38"/>
      <c r="O125" s="38"/>
      <c r="P125" s="38" t="s">
        <v>1098</v>
      </c>
      <c r="Q125" s="38"/>
      <c r="R125" s="37"/>
      <c r="S125" s="38" t="s">
        <v>1105</v>
      </c>
      <c r="T125" s="38" t="s">
        <v>1112</v>
      </c>
      <c r="U125" s="38" t="s">
        <v>1433</v>
      </c>
      <c r="V125" s="38" t="s">
        <v>1439</v>
      </c>
      <c r="W125" s="38" t="s">
        <v>1435</v>
      </c>
      <c r="AI125" s="68"/>
    </row>
    <row r="126" ht="66.0" customHeight="1">
      <c r="A126" s="36" t="s">
        <v>82</v>
      </c>
      <c r="B126" s="35" t="s">
        <v>1261</v>
      </c>
      <c r="C126" s="35" t="s">
        <v>1262</v>
      </c>
      <c r="D126" s="35" t="s">
        <v>1263</v>
      </c>
      <c r="E126" s="36" t="s">
        <v>780</v>
      </c>
      <c r="F126" s="36" t="s">
        <v>781</v>
      </c>
      <c r="G126" s="36" t="s">
        <v>1116</v>
      </c>
      <c r="H126" s="37" t="s">
        <v>1129</v>
      </c>
      <c r="I126" s="37"/>
      <c r="J126" s="38"/>
      <c r="K126" s="38"/>
      <c r="L126" s="38"/>
      <c r="M126" s="38"/>
      <c r="N126" s="38"/>
      <c r="O126" s="38"/>
      <c r="P126" s="38" t="s">
        <v>1098</v>
      </c>
      <c r="Q126" s="38"/>
      <c r="R126" s="37"/>
      <c r="S126" s="38" t="s">
        <v>1105</v>
      </c>
      <c r="T126" s="38" t="s">
        <v>1112</v>
      </c>
      <c r="U126" s="38" t="s">
        <v>1433</v>
      </c>
      <c r="V126" s="37"/>
      <c r="W126" s="37"/>
    </row>
    <row r="127" ht="15.75" customHeight="1">
      <c r="A127" s="36" t="s">
        <v>82</v>
      </c>
      <c r="B127" s="35" t="s">
        <v>1261</v>
      </c>
      <c r="C127" s="35" t="s">
        <v>1262</v>
      </c>
      <c r="D127" s="35" t="s">
        <v>1263</v>
      </c>
      <c r="E127" s="36" t="s">
        <v>789</v>
      </c>
      <c r="F127" s="36" t="s">
        <v>790</v>
      </c>
      <c r="G127" s="36" t="s">
        <v>1116</v>
      </c>
      <c r="H127" s="37" t="s">
        <v>1129</v>
      </c>
      <c r="I127" s="37"/>
      <c r="J127" s="38"/>
      <c r="K127" s="38"/>
      <c r="L127" s="38"/>
      <c r="M127" s="38"/>
      <c r="N127" s="38"/>
      <c r="O127" s="38"/>
      <c r="P127" s="38" t="s">
        <v>1098</v>
      </c>
      <c r="Q127" s="38"/>
      <c r="R127" s="37"/>
      <c r="S127" s="38" t="s">
        <v>1105</v>
      </c>
      <c r="T127" s="38" t="s">
        <v>1112</v>
      </c>
      <c r="U127" s="36" t="str">
        <f t="shared" ref="U127:U128" si="25">IFS(
    P127="No Funding Goal","Not Included",
    P127="Not Applicable","Not Included",
    P127&gt;=0.75,"1. Easy",
    AND(P127&lt;0.75,P127&gt;=0.5),"2. Moderate",
    P127&lt;0.5,"3. Difficult"
)</f>
        <v>Not Included</v>
      </c>
      <c r="V127" s="37"/>
      <c r="W127" s="37"/>
    </row>
    <row r="128" ht="15.75" customHeight="1">
      <c r="A128" s="36" t="s">
        <v>82</v>
      </c>
      <c r="B128" s="35" t="s">
        <v>1261</v>
      </c>
      <c r="C128" s="35" t="s">
        <v>1262</v>
      </c>
      <c r="D128" s="35" t="s">
        <v>1263</v>
      </c>
      <c r="E128" s="36" t="s">
        <v>109</v>
      </c>
      <c r="F128" s="36" t="s">
        <v>109</v>
      </c>
      <c r="G128" s="36" t="s">
        <v>1116</v>
      </c>
      <c r="H128" s="37" t="s">
        <v>1129</v>
      </c>
      <c r="I128" s="37"/>
      <c r="J128" s="38"/>
      <c r="K128" s="38"/>
      <c r="L128" s="38"/>
      <c r="M128" s="38"/>
      <c r="N128" s="38"/>
      <c r="O128" s="38"/>
      <c r="P128" s="38" t="s">
        <v>1098</v>
      </c>
      <c r="Q128" s="38"/>
      <c r="R128" s="37"/>
      <c r="S128" s="38" t="s">
        <v>1105</v>
      </c>
      <c r="T128" s="38" t="s">
        <v>1112</v>
      </c>
      <c r="U128" s="36" t="str">
        <f t="shared" si="25"/>
        <v>Not Included</v>
      </c>
      <c r="V128" s="38" t="s">
        <v>1440</v>
      </c>
      <c r="W128" s="38" t="s">
        <v>1284</v>
      </c>
    </row>
    <row r="129" ht="15.75" customHeight="1">
      <c r="A129" s="36" t="s">
        <v>82</v>
      </c>
      <c r="B129" s="35" t="s">
        <v>1261</v>
      </c>
      <c r="C129" s="35" t="s">
        <v>1262</v>
      </c>
      <c r="D129" s="35" t="s">
        <v>1263</v>
      </c>
      <c r="E129" s="36" t="s">
        <v>844</v>
      </c>
      <c r="F129" s="36" t="s">
        <v>845</v>
      </c>
      <c r="G129" s="36" t="s">
        <v>1116</v>
      </c>
      <c r="H129" s="37" t="s">
        <v>1139</v>
      </c>
      <c r="I129" s="37"/>
      <c r="J129" s="38"/>
      <c r="K129" s="38"/>
      <c r="L129" s="38"/>
      <c r="M129" s="38"/>
      <c r="N129" s="38"/>
      <c r="O129" s="38"/>
      <c r="P129" s="38" t="s">
        <v>1098</v>
      </c>
      <c r="Q129" s="38"/>
      <c r="R129" s="37"/>
      <c r="S129" s="38"/>
      <c r="T129" s="38"/>
      <c r="U129" s="38"/>
      <c r="V129" s="37"/>
      <c r="W129" s="37"/>
    </row>
    <row r="130" ht="15.75" customHeight="1">
      <c r="A130" s="36" t="s">
        <v>82</v>
      </c>
      <c r="B130" s="35" t="s">
        <v>1261</v>
      </c>
      <c r="C130" s="35" t="s">
        <v>1262</v>
      </c>
      <c r="D130" s="35" t="s">
        <v>1263</v>
      </c>
      <c r="E130" s="36" t="s">
        <v>90</v>
      </c>
      <c r="F130" s="36" t="s">
        <v>91</v>
      </c>
      <c r="G130" s="36" t="s">
        <v>1089</v>
      </c>
      <c r="H130" s="38" t="s">
        <v>1441</v>
      </c>
      <c r="I130" s="38"/>
      <c r="J130" s="38"/>
      <c r="K130" s="42"/>
      <c r="L130" s="42">
        <v>362994.0</v>
      </c>
      <c r="M130" s="69"/>
      <c r="N130" s="42">
        <v>0.0</v>
      </c>
      <c r="O130" s="39">
        <f t="shared" ref="O130:O131" si="26">M130+N130</f>
        <v>0</v>
      </c>
      <c r="P130" s="36">
        <f>IF(AND((M130+N130)&gt;0,L130=0),"No Funding Goal",IF(AND((M130+N130)=0,L130=0),0,(M130+N130)/L130))</f>
        <v>0</v>
      </c>
      <c r="Q130" s="36"/>
      <c r="R130" s="38" t="s">
        <v>1092</v>
      </c>
      <c r="S130" s="38" t="s">
        <v>1093</v>
      </c>
      <c r="T130" s="38" t="s">
        <v>1286</v>
      </c>
      <c r="U130" s="36" t="str">
        <f t="shared" ref="U130:U131" si="27">IFS(
    P130="No Funding Goal","Not Included",
    P130="Not Applicable","Not Included",
    P130&gt;=0.75,"1. Easy",
    AND(P130&lt;0.75,P130&gt;=0.5),"2. Moderate",
    P130&lt;0.5,"3. Difficult"
)</f>
        <v>3. Difficult</v>
      </c>
      <c r="V130" s="38" t="s">
        <v>1442</v>
      </c>
      <c r="W130" s="38" t="s">
        <v>1284</v>
      </c>
    </row>
    <row r="131" ht="15.75" customHeight="1">
      <c r="A131" s="36" t="s">
        <v>82</v>
      </c>
      <c r="B131" s="35" t="s">
        <v>1261</v>
      </c>
      <c r="C131" s="35" t="s">
        <v>1262</v>
      </c>
      <c r="D131" s="35" t="s">
        <v>1263</v>
      </c>
      <c r="E131" s="36" t="s">
        <v>115</v>
      </c>
      <c r="F131" s="36" t="s">
        <v>116</v>
      </c>
      <c r="G131" s="36" t="s">
        <v>1089</v>
      </c>
      <c r="H131" s="37" t="s">
        <v>1369</v>
      </c>
      <c r="I131" s="37" t="s">
        <v>1370</v>
      </c>
      <c r="J131" s="38"/>
      <c r="K131" s="38"/>
      <c r="L131" s="56">
        <v>200000.0</v>
      </c>
      <c r="M131" s="39"/>
      <c r="N131" s="56">
        <v>289664.71</v>
      </c>
      <c r="O131" s="39">
        <f t="shared" si="26"/>
        <v>289664.71</v>
      </c>
      <c r="P131" s="36">
        <f>IF(AND((M131+N131)&gt;0,L131=0),"No Funding Goal",
   IF(AND((M131+N131)=0,L131=0),0,
      MIN((M131+N131)/L131,1)
   )
)
</f>
        <v>1</v>
      </c>
      <c r="Q131" s="70"/>
      <c r="R131" s="45" t="s">
        <v>1371</v>
      </c>
      <c r="S131" s="36" t="s">
        <v>1100</v>
      </c>
      <c r="T131" s="36" t="s">
        <v>1112</v>
      </c>
      <c r="U131" s="36" t="str">
        <f t="shared" si="27"/>
        <v>1. Easy</v>
      </c>
      <c r="V131" s="36" t="s">
        <v>1443</v>
      </c>
      <c r="W131" s="37" t="s">
        <v>1444</v>
      </c>
      <c r="X131" s="40"/>
      <c r="Y131" s="40"/>
      <c r="Z131" s="40"/>
      <c r="AA131" s="40"/>
      <c r="AB131" s="40"/>
      <c r="AC131" s="40"/>
      <c r="AD131" s="40"/>
      <c r="AE131" s="40"/>
      <c r="AF131" s="40"/>
      <c r="AG131" s="40"/>
      <c r="AH131" s="40"/>
      <c r="AI131" s="65"/>
    </row>
    <row r="132" ht="15.75" customHeight="1">
      <c r="A132" s="36" t="s">
        <v>82</v>
      </c>
      <c r="B132" s="35" t="s">
        <v>1261</v>
      </c>
      <c r="C132" s="35" t="s">
        <v>1262</v>
      </c>
      <c r="D132" s="35" t="s">
        <v>1263</v>
      </c>
      <c r="E132" s="36" t="s">
        <v>85</v>
      </c>
      <c r="F132" s="36" t="s">
        <v>85</v>
      </c>
      <c r="G132" s="36" t="s">
        <v>1116</v>
      </c>
      <c r="H132" s="37" t="s">
        <v>1139</v>
      </c>
      <c r="I132" s="37"/>
      <c r="J132" s="38"/>
      <c r="K132" s="38"/>
      <c r="L132" s="38"/>
      <c r="M132" s="38"/>
      <c r="N132" s="38"/>
      <c r="O132" s="38"/>
      <c r="P132" s="38" t="s">
        <v>1098</v>
      </c>
      <c r="Q132" s="38"/>
      <c r="R132" s="37"/>
      <c r="S132" s="38"/>
      <c r="T132" s="38"/>
      <c r="U132" s="38"/>
      <c r="V132" s="37"/>
      <c r="W132" s="37"/>
    </row>
    <row r="133" ht="85.5" customHeight="1">
      <c r="A133" s="36" t="s">
        <v>82</v>
      </c>
      <c r="B133" s="35" t="s">
        <v>1261</v>
      </c>
      <c r="C133" s="35" t="s">
        <v>1262</v>
      </c>
      <c r="D133" s="35" t="s">
        <v>1263</v>
      </c>
      <c r="E133" s="36" t="s">
        <v>833</v>
      </c>
      <c r="F133" s="36" t="s">
        <v>833</v>
      </c>
      <c r="G133" s="36" t="s">
        <v>1116</v>
      </c>
      <c r="H133" s="37" t="s">
        <v>1139</v>
      </c>
      <c r="I133" s="37" t="s">
        <v>1238</v>
      </c>
      <c r="J133" s="38"/>
      <c r="K133" s="38"/>
      <c r="L133" s="38"/>
      <c r="M133" s="38"/>
      <c r="N133" s="38"/>
      <c r="O133" s="38"/>
      <c r="P133" s="38" t="s">
        <v>1098</v>
      </c>
      <c r="Q133" s="38"/>
      <c r="R133" s="37"/>
      <c r="S133" s="38"/>
      <c r="T133" s="38"/>
      <c r="U133" s="38"/>
      <c r="V133" s="37"/>
      <c r="W133" s="37"/>
    </row>
    <row r="134" ht="176.25" customHeight="1">
      <c r="A134" s="36" t="s">
        <v>82</v>
      </c>
      <c r="B134" s="35" t="s">
        <v>1261</v>
      </c>
      <c r="C134" s="35" t="s">
        <v>1262</v>
      </c>
      <c r="D134" s="35" t="s">
        <v>1263</v>
      </c>
      <c r="E134" s="36" t="s">
        <v>841</v>
      </c>
      <c r="F134" s="36" t="s">
        <v>841</v>
      </c>
      <c r="G134" s="36" t="s">
        <v>1116</v>
      </c>
      <c r="H134" s="37" t="s">
        <v>1139</v>
      </c>
      <c r="I134" s="37" t="s">
        <v>1238</v>
      </c>
      <c r="J134" s="38"/>
      <c r="K134" s="38"/>
      <c r="L134" s="38"/>
      <c r="M134" s="38"/>
      <c r="N134" s="38"/>
      <c r="O134" s="38"/>
      <c r="P134" s="38" t="s">
        <v>1098</v>
      </c>
      <c r="Q134" s="38"/>
      <c r="R134" s="37"/>
      <c r="S134" s="38"/>
      <c r="T134" s="38"/>
      <c r="U134" s="38"/>
      <c r="V134" s="37"/>
      <c r="W134" s="37"/>
    </row>
    <row r="135" ht="15.75" customHeight="1">
      <c r="A135" s="36" t="s">
        <v>82</v>
      </c>
      <c r="B135" s="35" t="s">
        <v>1261</v>
      </c>
      <c r="C135" s="35" t="s">
        <v>1262</v>
      </c>
      <c r="D135" s="35" t="s">
        <v>1263</v>
      </c>
      <c r="E135" s="36" t="s">
        <v>802</v>
      </c>
      <c r="F135" s="36" t="s">
        <v>803</v>
      </c>
      <c r="G135" s="36" t="s">
        <v>1116</v>
      </c>
      <c r="H135" s="37" t="s">
        <v>1139</v>
      </c>
      <c r="I135" s="37" t="s">
        <v>1445</v>
      </c>
      <c r="J135" s="38"/>
      <c r="K135" s="38"/>
      <c r="L135" s="38"/>
      <c r="M135" s="38"/>
      <c r="N135" s="38"/>
      <c r="O135" s="38"/>
      <c r="P135" s="38" t="s">
        <v>1098</v>
      </c>
      <c r="Q135" s="38"/>
      <c r="R135" s="37"/>
      <c r="S135" s="38"/>
      <c r="T135" s="38"/>
      <c r="U135" s="38"/>
      <c r="V135" s="37"/>
      <c r="W135" s="37"/>
      <c r="AI135" s="50"/>
    </row>
    <row r="136" ht="15.75" customHeight="1">
      <c r="A136" s="36" t="s">
        <v>82</v>
      </c>
      <c r="B136" s="35" t="s">
        <v>1261</v>
      </c>
      <c r="C136" s="35" t="s">
        <v>1262</v>
      </c>
      <c r="D136" s="35" t="s">
        <v>1263</v>
      </c>
      <c r="E136" s="36" t="s">
        <v>829</v>
      </c>
      <c r="F136" s="36" t="s">
        <v>830</v>
      </c>
      <c r="G136" s="36" t="s">
        <v>1116</v>
      </c>
      <c r="H136" s="37" t="s">
        <v>1139</v>
      </c>
      <c r="I136" s="37" t="s">
        <v>1446</v>
      </c>
      <c r="J136" s="38" t="s">
        <v>1447</v>
      </c>
      <c r="L136" s="38"/>
      <c r="M136" s="38"/>
      <c r="N136" s="38"/>
      <c r="O136" s="38"/>
      <c r="P136" s="38" t="s">
        <v>1098</v>
      </c>
      <c r="Q136" s="38"/>
      <c r="R136" s="37"/>
      <c r="S136" s="38"/>
      <c r="T136" s="38"/>
      <c r="U136" s="38"/>
      <c r="V136" s="37"/>
      <c r="W136" s="37"/>
    </row>
    <row r="137" ht="15.75" customHeight="1">
      <c r="A137" s="36" t="s">
        <v>82</v>
      </c>
      <c r="B137" s="35" t="s">
        <v>1261</v>
      </c>
      <c r="C137" s="35" t="s">
        <v>1262</v>
      </c>
      <c r="D137" s="35" t="s">
        <v>1263</v>
      </c>
      <c r="E137" s="63" t="s">
        <v>1448</v>
      </c>
      <c r="F137" s="36"/>
      <c r="G137" s="36" t="s">
        <v>1116</v>
      </c>
      <c r="H137" s="37" t="s">
        <v>1139</v>
      </c>
      <c r="I137" s="37"/>
      <c r="J137" s="38"/>
      <c r="K137" s="38"/>
      <c r="L137" s="38"/>
      <c r="M137" s="39"/>
      <c r="N137" s="39"/>
      <c r="O137" s="39"/>
      <c r="P137" s="38" t="s">
        <v>1098</v>
      </c>
      <c r="Q137" s="39"/>
      <c r="R137" s="36"/>
      <c r="S137" s="36"/>
      <c r="T137" s="36"/>
      <c r="U137" s="38"/>
      <c r="V137" s="64"/>
      <c r="W137" s="37" t="s">
        <v>1449</v>
      </c>
      <c r="X137" s="40"/>
      <c r="Y137" s="40"/>
      <c r="Z137" s="40"/>
      <c r="AA137" s="40"/>
      <c r="AB137" s="40"/>
      <c r="AC137" s="40"/>
      <c r="AD137" s="40"/>
      <c r="AE137" s="40"/>
      <c r="AF137" s="40"/>
      <c r="AG137" s="40"/>
      <c r="AH137" s="40"/>
      <c r="AI137" s="65"/>
    </row>
    <row r="138" ht="53.25" customHeight="1">
      <c r="A138" s="36" t="s">
        <v>82</v>
      </c>
      <c r="B138" s="35" t="s">
        <v>1261</v>
      </c>
      <c r="C138" s="35" t="s">
        <v>1262</v>
      </c>
      <c r="D138" s="35" t="s">
        <v>1263</v>
      </c>
      <c r="E138" s="63" t="s">
        <v>1450</v>
      </c>
      <c r="F138" s="36"/>
      <c r="G138" s="36" t="s">
        <v>1116</v>
      </c>
      <c r="H138" s="37" t="s">
        <v>1139</v>
      </c>
      <c r="I138" s="37"/>
      <c r="J138" s="38"/>
      <c r="K138" s="38"/>
      <c r="L138" s="38"/>
      <c r="M138" s="39"/>
      <c r="N138" s="39"/>
      <c r="O138" s="39"/>
      <c r="P138" s="38" t="s">
        <v>1098</v>
      </c>
      <c r="Q138" s="39"/>
      <c r="R138" s="36"/>
      <c r="S138" s="36"/>
      <c r="T138" s="36"/>
      <c r="U138" s="38"/>
      <c r="V138" s="64"/>
      <c r="W138" s="37" t="s">
        <v>1451</v>
      </c>
      <c r="X138" s="40"/>
      <c r="Y138" s="40"/>
      <c r="Z138" s="40"/>
      <c r="AA138" s="40"/>
      <c r="AB138" s="40"/>
      <c r="AC138" s="40"/>
      <c r="AD138" s="40"/>
      <c r="AE138" s="40"/>
      <c r="AF138" s="40"/>
      <c r="AG138" s="40"/>
      <c r="AH138" s="40"/>
      <c r="AI138" s="65"/>
    </row>
    <row r="139" ht="58.5" customHeight="1">
      <c r="A139" s="36" t="s">
        <v>82</v>
      </c>
      <c r="B139" s="35" t="s">
        <v>1261</v>
      </c>
      <c r="C139" s="35" t="s">
        <v>1262</v>
      </c>
      <c r="D139" s="35" t="s">
        <v>1263</v>
      </c>
      <c r="E139" s="67" t="s">
        <v>1452</v>
      </c>
      <c r="F139" s="36"/>
      <c r="G139" s="37" t="s">
        <v>1139</v>
      </c>
      <c r="H139" s="37" t="s">
        <v>1139</v>
      </c>
      <c r="I139" s="37" t="s">
        <v>1453</v>
      </c>
      <c r="J139" s="38"/>
      <c r="K139" s="38"/>
      <c r="L139" s="38"/>
      <c r="M139" s="39"/>
      <c r="N139" s="39"/>
      <c r="O139" s="38"/>
      <c r="P139" s="38" t="s">
        <v>1098</v>
      </c>
      <c r="Q139" s="38"/>
      <c r="R139" s="36"/>
      <c r="S139" s="36" t="s">
        <v>1105</v>
      </c>
      <c r="T139" s="38" t="s">
        <v>1112</v>
      </c>
      <c r="U139" s="36" t="str">
        <f t="shared" ref="U139:U140" si="28">IFS(
    P139="No Funding Goal","Not Included",
    P139="Not Applicable","Not Included",
    P139&gt;=0.75,"1. Easy",
    AND(P139&lt;0.75,P139&gt;=0.5),"2. Moderate",
    P139&lt;0.5,"3. Difficult"
)</f>
        <v>Not Included</v>
      </c>
      <c r="V139" s="64" t="s">
        <v>1454</v>
      </c>
      <c r="W139" s="37" t="s">
        <v>1407</v>
      </c>
      <c r="X139" s="40"/>
      <c r="Y139" s="40"/>
      <c r="Z139" s="40"/>
      <c r="AA139" s="40"/>
      <c r="AB139" s="40"/>
      <c r="AC139" s="40"/>
      <c r="AD139" s="40"/>
      <c r="AE139" s="40"/>
      <c r="AF139" s="40"/>
      <c r="AG139" s="40"/>
      <c r="AH139" s="40"/>
      <c r="AI139" s="65"/>
    </row>
    <row r="140" ht="15.75" customHeight="1">
      <c r="A140" s="36" t="s">
        <v>82</v>
      </c>
      <c r="B140" s="35" t="s">
        <v>1261</v>
      </c>
      <c r="C140" s="35" t="s">
        <v>1262</v>
      </c>
      <c r="D140" s="35" t="s">
        <v>1263</v>
      </c>
      <c r="E140" s="63" t="s">
        <v>1455</v>
      </c>
      <c r="F140" s="36"/>
      <c r="G140" s="37" t="s">
        <v>1139</v>
      </c>
      <c r="H140" s="37" t="s">
        <v>1139</v>
      </c>
      <c r="I140" s="37" t="s">
        <v>1453</v>
      </c>
      <c r="J140" s="38"/>
      <c r="K140" s="38"/>
      <c r="L140" s="38"/>
      <c r="M140" s="39"/>
      <c r="N140" s="39"/>
      <c r="O140" s="38"/>
      <c r="P140" s="38" t="s">
        <v>1098</v>
      </c>
      <c r="Q140" s="38"/>
      <c r="R140" s="36"/>
      <c r="S140" s="36" t="s">
        <v>1105</v>
      </c>
      <c r="T140" s="38" t="s">
        <v>1112</v>
      </c>
      <c r="U140" s="36" t="str">
        <f t="shared" si="28"/>
        <v>Not Included</v>
      </c>
      <c r="V140" s="64" t="s">
        <v>1456</v>
      </c>
      <c r="W140" s="37" t="s">
        <v>1407</v>
      </c>
      <c r="X140" s="40"/>
      <c r="Y140" s="40"/>
      <c r="Z140" s="40"/>
      <c r="AA140" s="40"/>
      <c r="AB140" s="40"/>
      <c r="AC140" s="40"/>
      <c r="AD140" s="40"/>
      <c r="AE140" s="40"/>
      <c r="AF140" s="40"/>
      <c r="AG140" s="40"/>
      <c r="AH140" s="40"/>
      <c r="AI140" s="65"/>
    </row>
    <row r="141" ht="15.75" customHeight="1">
      <c r="A141" s="36" t="s">
        <v>82</v>
      </c>
      <c r="B141" s="35" t="s">
        <v>1261</v>
      </c>
      <c r="C141" s="35" t="s">
        <v>1262</v>
      </c>
      <c r="D141" s="35" t="s">
        <v>1263</v>
      </c>
      <c r="E141" s="63" t="s">
        <v>1457</v>
      </c>
      <c r="F141" s="36"/>
      <c r="G141" s="37" t="s">
        <v>1139</v>
      </c>
      <c r="H141" s="37" t="s">
        <v>1139</v>
      </c>
      <c r="I141" s="37"/>
      <c r="J141" s="38"/>
      <c r="K141" s="38"/>
      <c r="L141" s="38"/>
      <c r="M141" s="39"/>
      <c r="N141" s="39"/>
      <c r="O141" s="39"/>
      <c r="P141" s="38" t="s">
        <v>1098</v>
      </c>
      <c r="Q141" s="39"/>
      <c r="R141" s="36"/>
      <c r="S141" s="36"/>
      <c r="T141" s="36"/>
      <c r="U141" s="38"/>
      <c r="V141" s="64"/>
      <c r="W141" s="37" t="s">
        <v>1407</v>
      </c>
      <c r="X141" s="40"/>
      <c r="Y141" s="40"/>
      <c r="Z141" s="40"/>
      <c r="AA141" s="40"/>
      <c r="AB141" s="40"/>
      <c r="AC141" s="40"/>
      <c r="AD141" s="40"/>
      <c r="AE141" s="40"/>
      <c r="AF141" s="40"/>
      <c r="AG141" s="40"/>
      <c r="AH141" s="40"/>
      <c r="AI141" s="65"/>
    </row>
    <row r="142" ht="15.75" customHeight="1">
      <c r="A142" s="36" t="s">
        <v>82</v>
      </c>
      <c r="B142" s="35" t="s">
        <v>1261</v>
      </c>
      <c r="C142" s="35" t="s">
        <v>1262</v>
      </c>
      <c r="D142" s="35" t="s">
        <v>1263</v>
      </c>
      <c r="E142" s="63" t="s">
        <v>1458</v>
      </c>
      <c r="F142" s="36"/>
      <c r="G142" s="37" t="s">
        <v>1139</v>
      </c>
      <c r="H142" s="37" t="s">
        <v>1139</v>
      </c>
      <c r="I142" s="37"/>
      <c r="J142" s="38"/>
      <c r="K142" s="38"/>
      <c r="L142" s="38"/>
      <c r="M142" s="39"/>
      <c r="N142" s="39"/>
      <c r="O142" s="39"/>
      <c r="P142" s="38" t="s">
        <v>1098</v>
      </c>
      <c r="Q142" s="39"/>
      <c r="R142" s="36"/>
      <c r="S142" s="36"/>
      <c r="T142" s="36"/>
      <c r="U142" s="38"/>
      <c r="V142" s="64"/>
      <c r="W142" s="37" t="s">
        <v>1459</v>
      </c>
      <c r="X142" s="40"/>
      <c r="Y142" s="40"/>
      <c r="Z142" s="40"/>
      <c r="AA142" s="40"/>
      <c r="AB142" s="40"/>
      <c r="AC142" s="40"/>
      <c r="AD142" s="40"/>
      <c r="AE142" s="40"/>
      <c r="AF142" s="40"/>
      <c r="AG142" s="40"/>
      <c r="AH142" s="40"/>
      <c r="AI142" s="65"/>
    </row>
    <row r="143" ht="15.75" customHeight="1">
      <c r="A143" s="36" t="s">
        <v>124</v>
      </c>
      <c r="B143" s="35" t="s">
        <v>1269</v>
      </c>
      <c r="C143" s="35" t="s">
        <v>1270</v>
      </c>
      <c r="D143" s="35" t="s">
        <v>1271</v>
      </c>
      <c r="E143" s="36" t="s">
        <v>155</v>
      </c>
      <c r="F143" s="36" t="s">
        <v>156</v>
      </c>
      <c r="G143" s="36" t="s">
        <v>1089</v>
      </c>
      <c r="H143" s="37" t="s">
        <v>1145</v>
      </c>
      <c r="I143" s="44" t="s">
        <v>1460</v>
      </c>
      <c r="J143" s="38"/>
      <c r="K143" s="38"/>
      <c r="L143" s="39">
        <v>3800000.0</v>
      </c>
      <c r="M143" s="39">
        <v>0.0</v>
      </c>
      <c r="N143" s="39">
        <v>0.0</v>
      </c>
      <c r="O143" s="39">
        <f t="shared" ref="O143:O164" si="29">M143+N143</f>
        <v>0</v>
      </c>
      <c r="P143" s="47"/>
      <c r="Q143" s="36"/>
      <c r="R143" s="36" t="s">
        <v>1146</v>
      </c>
      <c r="S143" s="36" t="s">
        <v>1100</v>
      </c>
      <c r="T143" s="38" t="s">
        <v>1112</v>
      </c>
      <c r="U143" s="36" t="str">
        <f t="shared" ref="U143:U144" si="30">IFS(
    Q143="No Funding Goal","Not Included",
    Q143="Not Applicable","Not Included",
    Q143&gt;=0.75,"1. Easy",
    AND(Q143&lt;0.75,Q143&gt;=0.5),"2. Moderate",
    Q143&lt;0.5,"3. Difficult"
)</f>
        <v>3. Difficult</v>
      </c>
      <c r="V143" s="35" t="s">
        <v>1461</v>
      </c>
      <c r="W143" s="36" t="s">
        <v>1444</v>
      </c>
      <c r="X143" s="51"/>
      <c r="Y143" s="51"/>
      <c r="Z143" s="51"/>
      <c r="AA143" s="51"/>
      <c r="AB143" s="51"/>
      <c r="AC143" s="51"/>
      <c r="AD143" s="51"/>
      <c r="AE143" s="51"/>
      <c r="AF143" s="51"/>
      <c r="AG143" s="51"/>
      <c r="AH143" s="51"/>
    </row>
    <row r="144" ht="15.75" customHeight="1">
      <c r="A144" s="35" t="s">
        <v>124</v>
      </c>
      <c r="B144" s="35" t="s">
        <v>1269</v>
      </c>
      <c r="C144" s="35" t="s">
        <v>1270</v>
      </c>
      <c r="D144" s="35" t="s">
        <v>1271</v>
      </c>
      <c r="E144" s="36" t="s">
        <v>952</v>
      </c>
      <c r="F144" s="37" t="s">
        <v>1462</v>
      </c>
      <c r="G144" s="38" t="s">
        <v>1089</v>
      </c>
      <c r="H144" s="37" t="s">
        <v>1145</v>
      </c>
      <c r="I144" s="44" t="s">
        <v>1460</v>
      </c>
      <c r="J144" s="38"/>
      <c r="K144" s="38"/>
      <c r="L144" s="39">
        <v>1800000.0</v>
      </c>
      <c r="M144" s="39">
        <v>0.0</v>
      </c>
      <c r="N144" s="39">
        <v>0.0</v>
      </c>
      <c r="O144" s="39">
        <f t="shared" si="29"/>
        <v>0</v>
      </c>
      <c r="P144" s="47"/>
      <c r="Q144" s="36"/>
      <c r="R144" s="37" t="s">
        <v>1415</v>
      </c>
      <c r="S144" s="36" t="s">
        <v>1100</v>
      </c>
      <c r="T144" s="38" t="s">
        <v>1112</v>
      </c>
      <c r="U144" s="36" t="str">
        <f t="shared" si="30"/>
        <v>3. Difficult</v>
      </c>
      <c r="V144" s="36"/>
      <c r="W144" s="36"/>
      <c r="X144" s="68"/>
      <c r="Y144" s="68"/>
      <c r="Z144" s="68"/>
      <c r="AA144" s="68"/>
      <c r="AB144" s="68"/>
      <c r="AC144" s="68"/>
      <c r="AD144" s="68"/>
      <c r="AE144" s="68"/>
      <c r="AF144" s="68"/>
      <c r="AG144" s="68"/>
      <c r="AH144" s="68"/>
    </row>
    <row r="145" ht="15.75" customHeight="1">
      <c r="A145" s="36" t="s">
        <v>124</v>
      </c>
      <c r="B145" s="35" t="s">
        <v>1269</v>
      </c>
      <c r="C145" s="35" t="s">
        <v>1270</v>
      </c>
      <c r="D145" s="35" t="s">
        <v>1271</v>
      </c>
      <c r="E145" s="36" t="s">
        <v>137</v>
      </c>
      <c r="F145" s="36" t="s">
        <v>138</v>
      </c>
      <c r="G145" s="36" t="s">
        <v>1089</v>
      </c>
      <c r="H145" s="37" t="s">
        <v>1162</v>
      </c>
      <c r="I145" s="37" t="s">
        <v>1463</v>
      </c>
      <c r="J145" s="38"/>
      <c r="K145" s="38"/>
      <c r="L145" s="42"/>
      <c r="M145" s="42"/>
      <c r="N145" s="42"/>
      <c r="O145" s="39">
        <f t="shared" si="29"/>
        <v>0</v>
      </c>
      <c r="P145" s="38" t="s">
        <v>1098</v>
      </c>
      <c r="Q145" s="38"/>
      <c r="R145" s="38" t="s">
        <v>1092</v>
      </c>
      <c r="S145" s="38" t="s">
        <v>1105</v>
      </c>
      <c r="T145" s="38" t="s">
        <v>1112</v>
      </c>
      <c r="U145" s="36" t="str">
        <f t="shared" ref="U145:U187" si="31">IFS(
    P145="No Funding Goal","Not Included",
    P145="Not Applicable","Not Included",
    P145&gt;=0.75,"1. Easy",
    AND(P145&lt;0.75,P145&gt;=0.5),"2. Moderate",
    P145&lt;0.5,"3. Difficult"
)</f>
        <v>Not Included</v>
      </c>
      <c r="V145" s="38" t="s">
        <v>1464</v>
      </c>
      <c r="W145" s="38" t="s">
        <v>1465</v>
      </c>
    </row>
    <row r="146" ht="15.75" customHeight="1">
      <c r="A146" s="35" t="s">
        <v>124</v>
      </c>
      <c r="B146" s="35" t="s">
        <v>1269</v>
      </c>
      <c r="C146" s="35" t="s">
        <v>1270</v>
      </c>
      <c r="D146" s="35" t="s">
        <v>1271</v>
      </c>
      <c r="E146" s="52" t="s">
        <v>1466</v>
      </c>
      <c r="F146" s="52" t="s">
        <v>1466</v>
      </c>
      <c r="G146" s="37" t="s">
        <v>1089</v>
      </c>
      <c r="H146" s="38" t="s">
        <v>1162</v>
      </c>
      <c r="I146" s="38" t="s">
        <v>1467</v>
      </c>
      <c r="J146" s="38"/>
      <c r="K146" s="57"/>
      <c r="L146" s="42"/>
      <c r="M146" s="71"/>
      <c r="N146" s="71"/>
      <c r="O146" s="39">
        <f t="shared" si="29"/>
        <v>0</v>
      </c>
      <c r="P146" s="38" t="s">
        <v>1098</v>
      </c>
      <c r="Q146" s="42"/>
      <c r="R146" s="38" t="s">
        <v>1092</v>
      </c>
      <c r="S146" s="38" t="s">
        <v>1105</v>
      </c>
      <c r="T146" s="38" t="s">
        <v>1112</v>
      </c>
      <c r="U146" s="36" t="str">
        <f t="shared" si="31"/>
        <v>Not Included</v>
      </c>
      <c r="V146" s="38" t="s">
        <v>1468</v>
      </c>
      <c r="W146" s="38" t="s">
        <v>1465</v>
      </c>
      <c r="X146" s="48"/>
      <c r="Y146" s="48"/>
      <c r="Z146" s="48"/>
      <c r="AA146" s="48"/>
      <c r="AB146" s="48"/>
      <c r="AC146" s="48"/>
      <c r="AD146" s="48"/>
      <c r="AE146" s="48"/>
      <c r="AF146" s="48"/>
      <c r="AG146" s="48"/>
      <c r="AH146" s="48"/>
      <c r="AI146" s="48"/>
    </row>
    <row r="147" ht="15.75" customHeight="1">
      <c r="A147" s="36" t="s">
        <v>124</v>
      </c>
      <c r="B147" s="35" t="s">
        <v>1269</v>
      </c>
      <c r="C147" s="35" t="s">
        <v>1270</v>
      </c>
      <c r="D147" s="35" t="s">
        <v>1271</v>
      </c>
      <c r="E147" s="36" t="s">
        <v>165</v>
      </c>
      <c r="F147" s="36" t="s">
        <v>166</v>
      </c>
      <c r="G147" s="36" t="s">
        <v>1089</v>
      </c>
      <c r="H147" s="36" t="s">
        <v>1192</v>
      </c>
      <c r="I147" s="36" t="s">
        <v>1469</v>
      </c>
      <c r="J147" s="36"/>
      <c r="K147" s="36"/>
      <c r="L147" s="39"/>
      <c r="M147" s="39"/>
      <c r="N147" s="39"/>
      <c r="O147" s="39">
        <f t="shared" si="29"/>
        <v>0</v>
      </c>
      <c r="P147" s="36" t="s">
        <v>1098</v>
      </c>
      <c r="Q147" s="36"/>
      <c r="R147" s="36" t="s">
        <v>1311</v>
      </c>
      <c r="S147" s="36" t="s">
        <v>1105</v>
      </c>
      <c r="T147" s="38" t="s">
        <v>1094</v>
      </c>
      <c r="U147" s="36" t="str">
        <f t="shared" si="31"/>
        <v>Not Included</v>
      </c>
      <c r="V147" s="36" t="s">
        <v>1470</v>
      </c>
      <c r="W147" s="36" t="s">
        <v>1465</v>
      </c>
    </row>
    <row r="148" ht="15.75" customHeight="1">
      <c r="A148" s="36" t="s">
        <v>124</v>
      </c>
      <c r="B148" s="35" t="s">
        <v>1269</v>
      </c>
      <c r="C148" s="35" t="s">
        <v>1270</v>
      </c>
      <c r="D148" s="35" t="s">
        <v>1271</v>
      </c>
      <c r="E148" s="36" t="s">
        <v>165</v>
      </c>
      <c r="F148" s="36" t="s">
        <v>180</v>
      </c>
      <c r="G148" s="36" t="s">
        <v>1089</v>
      </c>
      <c r="H148" s="36" t="s">
        <v>1192</v>
      </c>
      <c r="I148" s="36" t="s">
        <v>1469</v>
      </c>
      <c r="J148" s="36"/>
      <c r="K148" s="36"/>
      <c r="L148" s="39"/>
      <c r="M148" s="39"/>
      <c r="N148" s="39"/>
      <c r="O148" s="39">
        <f t="shared" si="29"/>
        <v>0</v>
      </c>
      <c r="P148" s="36" t="s">
        <v>1098</v>
      </c>
      <c r="Q148" s="36"/>
      <c r="R148" s="36" t="s">
        <v>1311</v>
      </c>
      <c r="S148" s="36" t="s">
        <v>1105</v>
      </c>
      <c r="T148" s="38" t="s">
        <v>1094</v>
      </c>
      <c r="U148" s="36" t="str">
        <f t="shared" si="31"/>
        <v>Not Included</v>
      </c>
      <c r="V148" s="36" t="s">
        <v>1471</v>
      </c>
      <c r="W148" s="36" t="s">
        <v>1465</v>
      </c>
    </row>
    <row r="149" ht="15.75" customHeight="1">
      <c r="A149" s="36" t="s">
        <v>124</v>
      </c>
      <c r="B149" s="35" t="s">
        <v>1269</v>
      </c>
      <c r="C149" s="35" t="s">
        <v>1270</v>
      </c>
      <c r="D149" s="35" t="s">
        <v>1271</v>
      </c>
      <c r="E149" s="52" t="s">
        <v>1472</v>
      </c>
      <c r="F149" s="36" t="s">
        <v>147</v>
      </c>
      <c r="G149" s="36" t="s">
        <v>1089</v>
      </c>
      <c r="H149" s="36" t="s">
        <v>1192</v>
      </c>
      <c r="I149" s="36" t="s">
        <v>1473</v>
      </c>
      <c r="J149" s="36"/>
      <c r="K149" s="72"/>
      <c r="L149" s="39"/>
      <c r="M149" s="71"/>
      <c r="N149" s="71"/>
      <c r="O149" s="39">
        <f t="shared" si="29"/>
        <v>0</v>
      </c>
      <c r="P149" s="36" t="s">
        <v>1098</v>
      </c>
      <c r="Q149" s="36"/>
      <c r="R149" s="36" t="s">
        <v>1311</v>
      </c>
      <c r="S149" s="36" t="s">
        <v>1105</v>
      </c>
      <c r="T149" s="38" t="s">
        <v>1094</v>
      </c>
      <c r="U149" s="36" t="str">
        <f t="shared" si="31"/>
        <v>Not Included</v>
      </c>
      <c r="V149" s="36"/>
      <c r="W149" s="36"/>
      <c r="X149" s="48"/>
      <c r="Y149" s="48"/>
      <c r="Z149" s="48"/>
      <c r="AA149" s="48"/>
      <c r="AB149" s="48"/>
      <c r="AC149" s="48"/>
      <c r="AD149" s="48"/>
      <c r="AE149" s="48"/>
      <c r="AF149" s="48"/>
      <c r="AG149" s="48"/>
      <c r="AH149" s="48"/>
      <c r="AI149" s="48"/>
    </row>
    <row r="150" ht="15.75" customHeight="1">
      <c r="A150" s="36" t="s">
        <v>124</v>
      </c>
      <c r="B150" s="35" t="s">
        <v>1269</v>
      </c>
      <c r="C150" s="35" t="s">
        <v>1270</v>
      </c>
      <c r="D150" s="35" t="s">
        <v>1271</v>
      </c>
      <c r="E150" s="36" t="s">
        <v>146</v>
      </c>
      <c r="F150" s="36" t="s">
        <v>147</v>
      </c>
      <c r="G150" s="36" t="s">
        <v>1089</v>
      </c>
      <c r="H150" s="36" t="s">
        <v>1192</v>
      </c>
      <c r="I150" s="36" t="s">
        <v>1473</v>
      </c>
      <c r="J150" s="36"/>
      <c r="K150" s="36"/>
      <c r="L150" s="39"/>
      <c r="M150" s="39"/>
      <c r="N150" s="39"/>
      <c r="O150" s="39">
        <f t="shared" si="29"/>
        <v>0</v>
      </c>
      <c r="P150" s="36" t="s">
        <v>1098</v>
      </c>
      <c r="Q150" s="36"/>
      <c r="R150" s="36" t="s">
        <v>1311</v>
      </c>
      <c r="S150" s="36" t="s">
        <v>1105</v>
      </c>
      <c r="T150" s="38" t="s">
        <v>1094</v>
      </c>
      <c r="U150" s="36" t="str">
        <f t="shared" si="31"/>
        <v>Not Included</v>
      </c>
      <c r="V150" s="36" t="s">
        <v>1474</v>
      </c>
      <c r="W150" s="36" t="s">
        <v>1465</v>
      </c>
      <c r="X150" s="23"/>
      <c r="Y150" s="23"/>
      <c r="Z150" s="23"/>
      <c r="AA150" s="23"/>
      <c r="AB150" s="23"/>
      <c r="AC150" s="23"/>
      <c r="AD150" s="23"/>
      <c r="AE150" s="23"/>
      <c r="AF150" s="23"/>
      <c r="AG150" s="23"/>
      <c r="AH150" s="23"/>
      <c r="AI150" s="23"/>
    </row>
    <row r="151" ht="15.75" customHeight="1">
      <c r="A151" s="36" t="s">
        <v>124</v>
      </c>
      <c r="B151" s="35" t="s">
        <v>1269</v>
      </c>
      <c r="C151" s="35" t="s">
        <v>1270</v>
      </c>
      <c r="D151" s="35" t="s">
        <v>1271</v>
      </c>
      <c r="E151" s="52" t="s">
        <v>1475</v>
      </c>
      <c r="F151" s="36" t="s">
        <v>144</v>
      </c>
      <c r="G151" s="36" t="s">
        <v>1089</v>
      </c>
      <c r="H151" s="38" t="s">
        <v>1117</v>
      </c>
      <c r="I151" s="38" t="s">
        <v>112</v>
      </c>
      <c r="J151" s="38" t="s">
        <v>1476</v>
      </c>
      <c r="K151" s="57"/>
      <c r="L151" s="42"/>
      <c r="M151" s="71"/>
      <c r="N151" s="71"/>
      <c r="O151" s="39">
        <f t="shared" si="29"/>
        <v>0</v>
      </c>
      <c r="P151" s="38" t="s">
        <v>1098</v>
      </c>
      <c r="Q151" s="38"/>
      <c r="R151" s="38" t="s">
        <v>1092</v>
      </c>
      <c r="S151" s="38" t="s">
        <v>1105</v>
      </c>
      <c r="T151" s="36" t="s">
        <v>1112</v>
      </c>
      <c r="U151" s="36" t="str">
        <f t="shared" si="31"/>
        <v>Not Included</v>
      </c>
      <c r="V151" s="38"/>
      <c r="W151" s="38"/>
      <c r="X151" s="48"/>
      <c r="Y151" s="48"/>
      <c r="Z151" s="48"/>
      <c r="AA151" s="48"/>
      <c r="AB151" s="48"/>
      <c r="AC151" s="48"/>
      <c r="AD151" s="48"/>
      <c r="AE151" s="48"/>
      <c r="AF151" s="48"/>
      <c r="AG151" s="48"/>
      <c r="AH151" s="48"/>
      <c r="AI151" s="48"/>
    </row>
    <row r="152" ht="15.75" customHeight="1">
      <c r="A152" s="36" t="s">
        <v>124</v>
      </c>
      <c r="B152" s="35" t="s">
        <v>1269</v>
      </c>
      <c r="C152" s="35" t="s">
        <v>1270</v>
      </c>
      <c r="D152" s="35" t="s">
        <v>1271</v>
      </c>
      <c r="E152" s="36" t="s">
        <v>184</v>
      </c>
      <c r="F152" s="36" t="s">
        <v>184</v>
      </c>
      <c r="G152" s="36" t="s">
        <v>1089</v>
      </c>
      <c r="H152" s="38" t="s">
        <v>1117</v>
      </c>
      <c r="I152" s="38" t="s">
        <v>1118</v>
      </c>
      <c r="J152" s="38" t="s">
        <v>1477</v>
      </c>
      <c r="K152" s="38"/>
      <c r="L152" s="42"/>
      <c r="M152" s="42"/>
      <c r="N152" s="42"/>
      <c r="O152" s="39">
        <f t="shared" si="29"/>
        <v>0</v>
      </c>
      <c r="P152" s="38" t="s">
        <v>1098</v>
      </c>
      <c r="Q152" s="38"/>
      <c r="R152" s="37" t="s">
        <v>1092</v>
      </c>
      <c r="S152" s="38" t="s">
        <v>1105</v>
      </c>
      <c r="T152" s="36" t="s">
        <v>1112</v>
      </c>
      <c r="U152" s="36" t="str">
        <f t="shared" si="31"/>
        <v>Not Included</v>
      </c>
      <c r="V152" s="37"/>
      <c r="W152" s="37"/>
    </row>
    <row r="153" ht="15.75" customHeight="1">
      <c r="A153" s="36" t="s">
        <v>124</v>
      </c>
      <c r="B153" s="35" t="s">
        <v>1269</v>
      </c>
      <c r="C153" s="35" t="s">
        <v>1270</v>
      </c>
      <c r="D153" s="35" t="s">
        <v>1271</v>
      </c>
      <c r="E153" s="52" t="s">
        <v>1478</v>
      </c>
      <c r="F153" s="52" t="s">
        <v>1478</v>
      </c>
      <c r="G153" s="36" t="s">
        <v>1089</v>
      </c>
      <c r="H153" s="38" t="s">
        <v>1117</v>
      </c>
      <c r="I153" s="38" t="s">
        <v>1398</v>
      </c>
      <c r="J153" s="38" t="s">
        <v>1479</v>
      </c>
      <c r="K153" s="57"/>
      <c r="L153" s="42"/>
      <c r="M153" s="71">
        <v>0.0</v>
      </c>
      <c r="N153" s="71">
        <v>0.0</v>
      </c>
      <c r="O153" s="39">
        <f t="shared" si="29"/>
        <v>0</v>
      </c>
      <c r="P153" s="38" t="s">
        <v>1098</v>
      </c>
      <c r="Q153" s="38"/>
      <c r="R153" s="37" t="s">
        <v>1092</v>
      </c>
      <c r="S153" s="38" t="s">
        <v>1105</v>
      </c>
      <c r="T153" s="36" t="s">
        <v>1112</v>
      </c>
      <c r="U153" s="36" t="str">
        <f t="shared" si="31"/>
        <v>Not Included</v>
      </c>
      <c r="V153" s="38"/>
      <c r="W153" s="38"/>
      <c r="X153" s="48"/>
      <c r="Y153" s="48"/>
      <c r="Z153" s="48"/>
      <c r="AA153" s="48"/>
      <c r="AB153" s="48"/>
      <c r="AC153" s="48"/>
      <c r="AD153" s="48"/>
      <c r="AE153" s="48"/>
      <c r="AF153" s="48"/>
      <c r="AG153" s="48"/>
      <c r="AH153" s="48"/>
      <c r="AI153" s="48"/>
    </row>
    <row r="154" ht="15.75" customHeight="1">
      <c r="A154" s="36" t="s">
        <v>124</v>
      </c>
      <c r="B154" s="35" t="s">
        <v>1269</v>
      </c>
      <c r="C154" s="35" t="s">
        <v>1270</v>
      </c>
      <c r="D154" s="35" t="s">
        <v>1271</v>
      </c>
      <c r="E154" s="36" t="s">
        <v>126</v>
      </c>
      <c r="F154" s="36" t="s">
        <v>127</v>
      </c>
      <c r="G154" s="36" t="s">
        <v>1089</v>
      </c>
      <c r="H154" s="38" t="s">
        <v>1117</v>
      </c>
      <c r="I154" s="38" t="s">
        <v>1480</v>
      </c>
      <c r="J154" s="38" t="s">
        <v>1481</v>
      </c>
      <c r="K154" s="38"/>
      <c r="L154" s="42"/>
      <c r="M154" s="42"/>
      <c r="N154" s="42"/>
      <c r="O154" s="39">
        <f t="shared" si="29"/>
        <v>0</v>
      </c>
      <c r="P154" s="38" t="s">
        <v>1098</v>
      </c>
      <c r="Q154" s="38"/>
      <c r="R154" s="37" t="s">
        <v>1243</v>
      </c>
      <c r="S154" s="38" t="s">
        <v>1105</v>
      </c>
      <c r="T154" s="36" t="s">
        <v>1112</v>
      </c>
      <c r="U154" s="36" t="str">
        <f t="shared" si="31"/>
        <v>Not Included</v>
      </c>
      <c r="V154" s="37"/>
      <c r="W154" s="37"/>
    </row>
    <row r="155" ht="15.75" customHeight="1">
      <c r="A155" s="36" t="s">
        <v>124</v>
      </c>
      <c r="B155" s="35" t="s">
        <v>1269</v>
      </c>
      <c r="C155" s="35" t="s">
        <v>1270</v>
      </c>
      <c r="D155" s="35" t="s">
        <v>1271</v>
      </c>
      <c r="E155" s="36" t="s">
        <v>141</v>
      </c>
      <c r="F155" s="36" t="s">
        <v>142</v>
      </c>
      <c r="G155" s="36" t="s">
        <v>1089</v>
      </c>
      <c r="H155" s="38" t="s">
        <v>1117</v>
      </c>
      <c r="I155" s="38" t="s">
        <v>1480</v>
      </c>
      <c r="J155" s="38" t="s">
        <v>1060</v>
      </c>
      <c r="K155" s="38"/>
      <c r="L155" s="42"/>
      <c r="M155" s="42"/>
      <c r="N155" s="42"/>
      <c r="O155" s="39">
        <f t="shared" si="29"/>
        <v>0</v>
      </c>
      <c r="P155" s="38" t="s">
        <v>1098</v>
      </c>
      <c r="Q155" s="38"/>
      <c r="R155" s="37" t="s">
        <v>1243</v>
      </c>
      <c r="S155" s="38" t="s">
        <v>1105</v>
      </c>
      <c r="T155" s="36" t="s">
        <v>1112</v>
      </c>
      <c r="U155" s="36" t="str">
        <f t="shared" si="31"/>
        <v>Not Included</v>
      </c>
      <c r="V155" s="37"/>
      <c r="W155" s="37"/>
    </row>
    <row r="156" ht="15.75" customHeight="1">
      <c r="A156" s="36" t="s">
        <v>124</v>
      </c>
      <c r="B156" s="35" t="s">
        <v>1269</v>
      </c>
      <c r="C156" s="35" t="s">
        <v>1270</v>
      </c>
      <c r="D156" s="35" t="s">
        <v>1271</v>
      </c>
      <c r="E156" s="36" t="s">
        <v>160</v>
      </c>
      <c r="F156" s="36" t="s">
        <v>131</v>
      </c>
      <c r="G156" s="38" t="s">
        <v>1089</v>
      </c>
      <c r="H156" s="38" t="s">
        <v>1117</v>
      </c>
      <c r="I156" s="38" t="s">
        <v>1482</v>
      </c>
      <c r="J156" s="38" t="s">
        <v>1483</v>
      </c>
      <c r="K156" s="38"/>
      <c r="L156" s="42"/>
      <c r="M156" s="42"/>
      <c r="N156" s="42"/>
      <c r="O156" s="39">
        <f t="shared" si="29"/>
        <v>0</v>
      </c>
      <c r="P156" s="38" t="s">
        <v>1098</v>
      </c>
      <c r="Q156" s="38"/>
      <c r="R156" s="37" t="s">
        <v>1243</v>
      </c>
      <c r="S156" s="38" t="s">
        <v>1100</v>
      </c>
      <c r="T156" s="36" t="s">
        <v>1112</v>
      </c>
      <c r="U156" s="36" t="str">
        <f t="shared" si="31"/>
        <v>Not Included</v>
      </c>
      <c r="V156" s="38" t="s">
        <v>1484</v>
      </c>
      <c r="W156" s="38" t="s">
        <v>1485</v>
      </c>
    </row>
    <row r="157" ht="15.75" customHeight="1">
      <c r="A157" s="36" t="s">
        <v>124</v>
      </c>
      <c r="B157" s="35" t="s">
        <v>1269</v>
      </c>
      <c r="C157" s="35" t="s">
        <v>1270</v>
      </c>
      <c r="D157" s="35" t="s">
        <v>1271</v>
      </c>
      <c r="E157" s="36" t="s">
        <v>143</v>
      </c>
      <c r="F157" s="36" t="s">
        <v>144</v>
      </c>
      <c r="G157" s="36" t="s">
        <v>1089</v>
      </c>
      <c r="H157" s="38" t="s">
        <v>1117</v>
      </c>
      <c r="I157" s="38" t="s">
        <v>1118</v>
      </c>
      <c r="J157" s="38" t="s">
        <v>1486</v>
      </c>
      <c r="K157" s="38"/>
      <c r="L157" s="42"/>
      <c r="M157" s="42"/>
      <c r="N157" s="42"/>
      <c r="O157" s="39">
        <f t="shared" si="29"/>
        <v>0</v>
      </c>
      <c r="P157" s="38" t="s">
        <v>1098</v>
      </c>
      <c r="Q157" s="38"/>
      <c r="R157" s="37" t="s">
        <v>1092</v>
      </c>
      <c r="S157" s="38" t="s">
        <v>1105</v>
      </c>
      <c r="T157" s="36" t="s">
        <v>1112</v>
      </c>
      <c r="U157" s="36" t="str">
        <f t="shared" si="31"/>
        <v>Not Included</v>
      </c>
      <c r="V157" s="37"/>
      <c r="W157" s="37"/>
    </row>
    <row r="158" ht="15.75" customHeight="1">
      <c r="A158" s="35" t="s">
        <v>124</v>
      </c>
      <c r="B158" s="35" t="s">
        <v>1269</v>
      </c>
      <c r="C158" s="35" t="s">
        <v>1270</v>
      </c>
      <c r="D158" s="35" t="s">
        <v>1271</v>
      </c>
      <c r="E158" s="52" t="s">
        <v>1487</v>
      </c>
      <c r="F158" s="52" t="s">
        <v>1487</v>
      </c>
      <c r="G158" s="36" t="s">
        <v>1089</v>
      </c>
      <c r="H158" s="38" t="s">
        <v>1117</v>
      </c>
      <c r="I158" s="38" t="s">
        <v>1118</v>
      </c>
      <c r="J158" s="38" t="s">
        <v>1488</v>
      </c>
      <c r="K158" s="57"/>
      <c r="L158" s="42"/>
      <c r="M158" s="71"/>
      <c r="N158" s="71"/>
      <c r="O158" s="39">
        <f t="shared" si="29"/>
        <v>0</v>
      </c>
      <c r="P158" s="38" t="s">
        <v>1098</v>
      </c>
      <c r="Q158" s="38"/>
      <c r="R158" s="37" t="s">
        <v>1092</v>
      </c>
      <c r="S158" s="38" t="s">
        <v>1105</v>
      </c>
      <c r="T158" s="36" t="s">
        <v>1112</v>
      </c>
      <c r="U158" s="36" t="str">
        <f t="shared" si="31"/>
        <v>Not Included</v>
      </c>
      <c r="V158" s="38"/>
      <c r="W158" s="38"/>
      <c r="X158" s="48"/>
      <c r="Y158" s="48"/>
      <c r="Z158" s="48"/>
      <c r="AA158" s="48"/>
      <c r="AB158" s="48"/>
      <c r="AC158" s="48"/>
      <c r="AD158" s="48"/>
      <c r="AE158" s="48"/>
      <c r="AF158" s="48"/>
      <c r="AG158" s="48"/>
      <c r="AH158" s="48"/>
      <c r="AI158" s="48"/>
    </row>
    <row r="159" ht="15.75" customHeight="1">
      <c r="A159" s="35" t="s">
        <v>124</v>
      </c>
      <c r="B159" s="35" t="s">
        <v>1269</v>
      </c>
      <c r="C159" s="35" t="s">
        <v>1270</v>
      </c>
      <c r="D159" s="35" t="s">
        <v>1271</v>
      </c>
      <c r="E159" s="52" t="s">
        <v>1489</v>
      </c>
      <c r="F159" s="52" t="s">
        <v>1489</v>
      </c>
      <c r="G159" s="38" t="s">
        <v>1089</v>
      </c>
      <c r="H159" s="38" t="s">
        <v>1117</v>
      </c>
      <c r="I159" s="38" t="s">
        <v>1490</v>
      </c>
      <c r="J159" s="38" t="s">
        <v>1491</v>
      </c>
      <c r="K159" s="57"/>
      <c r="L159" s="42"/>
      <c r="M159" s="42"/>
      <c r="N159" s="42"/>
      <c r="O159" s="39">
        <f t="shared" si="29"/>
        <v>0</v>
      </c>
      <c r="P159" s="38" t="s">
        <v>1098</v>
      </c>
      <c r="Q159" s="38"/>
      <c r="R159" s="38" t="s">
        <v>1492</v>
      </c>
      <c r="S159" s="38" t="s">
        <v>1105</v>
      </c>
      <c r="T159" s="36" t="s">
        <v>1112</v>
      </c>
      <c r="U159" s="36" t="str">
        <f t="shared" si="31"/>
        <v>Not Included</v>
      </c>
      <c r="V159" s="38"/>
      <c r="W159" s="38"/>
      <c r="X159" s="48"/>
      <c r="Y159" s="48"/>
      <c r="Z159" s="48"/>
      <c r="AA159" s="48"/>
      <c r="AB159" s="48"/>
      <c r="AC159" s="48"/>
      <c r="AD159" s="48"/>
      <c r="AE159" s="48"/>
      <c r="AF159" s="48"/>
      <c r="AG159" s="48"/>
      <c r="AH159" s="48"/>
      <c r="AI159" s="48"/>
    </row>
    <row r="160" ht="97.5" customHeight="1">
      <c r="A160" s="36" t="s">
        <v>124</v>
      </c>
      <c r="B160" s="35" t="s">
        <v>1269</v>
      </c>
      <c r="C160" s="35" t="s">
        <v>1270</v>
      </c>
      <c r="D160" s="35" t="s">
        <v>1271</v>
      </c>
      <c r="E160" s="36" t="s">
        <v>131</v>
      </c>
      <c r="F160" s="36" t="s">
        <v>132</v>
      </c>
      <c r="G160" s="36" t="s">
        <v>1089</v>
      </c>
      <c r="H160" s="38" t="s">
        <v>1117</v>
      </c>
      <c r="I160" s="38" t="s">
        <v>646</v>
      </c>
      <c r="J160" s="38" t="s">
        <v>1027</v>
      </c>
      <c r="K160" s="38"/>
      <c r="L160" s="42"/>
      <c r="M160" s="42"/>
      <c r="N160" s="42"/>
      <c r="O160" s="39">
        <f t="shared" si="29"/>
        <v>0</v>
      </c>
      <c r="P160" s="38" t="s">
        <v>1098</v>
      </c>
      <c r="Q160" s="38"/>
      <c r="R160" s="37" t="s">
        <v>1092</v>
      </c>
      <c r="S160" s="38" t="s">
        <v>1105</v>
      </c>
      <c r="T160" s="36" t="s">
        <v>1112</v>
      </c>
      <c r="U160" s="36" t="str">
        <f t="shared" si="31"/>
        <v>Not Included</v>
      </c>
      <c r="V160" s="37"/>
      <c r="W160" s="37"/>
    </row>
    <row r="161" ht="15.75" customHeight="1">
      <c r="A161" s="36" t="s">
        <v>124</v>
      </c>
      <c r="B161" s="35" t="s">
        <v>1269</v>
      </c>
      <c r="C161" s="35" t="s">
        <v>1270</v>
      </c>
      <c r="D161" s="35" t="s">
        <v>1271</v>
      </c>
      <c r="E161" s="52" t="s">
        <v>1493</v>
      </c>
      <c r="F161" s="36" t="s">
        <v>144</v>
      </c>
      <c r="G161" s="36" t="s">
        <v>1089</v>
      </c>
      <c r="H161" s="38" t="s">
        <v>1117</v>
      </c>
      <c r="I161" s="38" t="s">
        <v>646</v>
      </c>
      <c r="J161" s="38" t="s">
        <v>1494</v>
      </c>
      <c r="K161" s="57"/>
      <c r="L161" s="42"/>
      <c r="M161" s="71"/>
      <c r="N161" s="71"/>
      <c r="O161" s="39">
        <f t="shared" si="29"/>
        <v>0</v>
      </c>
      <c r="P161" s="38" t="s">
        <v>1098</v>
      </c>
      <c r="Q161" s="38"/>
      <c r="R161" s="38" t="s">
        <v>1495</v>
      </c>
      <c r="S161" s="38" t="s">
        <v>1105</v>
      </c>
      <c r="T161" s="36" t="s">
        <v>1112</v>
      </c>
      <c r="U161" s="36" t="str">
        <f t="shared" si="31"/>
        <v>Not Included</v>
      </c>
      <c r="V161" s="38"/>
      <c r="W161" s="38"/>
      <c r="X161" s="48"/>
      <c r="Y161" s="48"/>
      <c r="Z161" s="48"/>
      <c r="AA161" s="48"/>
      <c r="AB161" s="48"/>
      <c r="AC161" s="48"/>
      <c r="AD161" s="48"/>
      <c r="AE161" s="48"/>
      <c r="AF161" s="48"/>
      <c r="AG161" s="48"/>
      <c r="AH161" s="48"/>
      <c r="AI161" s="48"/>
    </row>
    <row r="162" ht="15.75" customHeight="1">
      <c r="A162" s="36" t="s">
        <v>124</v>
      </c>
      <c r="B162" s="35" t="s">
        <v>1269</v>
      </c>
      <c r="C162" s="35" t="s">
        <v>1270</v>
      </c>
      <c r="D162" s="35" t="s">
        <v>1271</v>
      </c>
      <c r="E162" s="52" t="s">
        <v>1496</v>
      </c>
      <c r="F162" s="36" t="s">
        <v>144</v>
      </c>
      <c r="G162" s="36" t="s">
        <v>1089</v>
      </c>
      <c r="H162" s="38" t="s">
        <v>1117</v>
      </c>
      <c r="I162" s="38" t="s">
        <v>646</v>
      </c>
      <c r="J162" s="38" t="s">
        <v>1494</v>
      </c>
      <c r="K162" s="57"/>
      <c r="L162" s="42"/>
      <c r="M162" s="71"/>
      <c r="N162" s="71"/>
      <c r="O162" s="39">
        <f t="shared" si="29"/>
        <v>0</v>
      </c>
      <c r="P162" s="38" t="s">
        <v>1098</v>
      </c>
      <c r="Q162" s="38"/>
      <c r="R162" s="38" t="s">
        <v>1495</v>
      </c>
      <c r="S162" s="38" t="s">
        <v>1105</v>
      </c>
      <c r="T162" s="36" t="s">
        <v>1112</v>
      </c>
      <c r="U162" s="36" t="str">
        <f t="shared" si="31"/>
        <v>Not Included</v>
      </c>
      <c r="V162" s="38"/>
      <c r="W162" s="38"/>
      <c r="X162" s="48"/>
      <c r="Y162" s="48"/>
      <c r="Z162" s="48"/>
      <c r="AA162" s="48"/>
      <c r="AB162" s="48"/>
      <c r="AC162" s="48"/>
      <c r="AD162" s="48"/>
      <c r="AE162" s="48"/>
      <c r="AF162" s="48"/>
      <c r="AG162" s="48"/>
      <c r="AH162" s="48"/>
      <c r="AI162" s="48"/>
    </row>
    <row r="163" ht="15.75" customHeight="1">
      <c r="A163" s="36" t="s">
        <v>124</v>
      </c>
      <c r="B163" s="35" t="s">
        <v>1269</v>
      </c>
      <c r="C163" s="35" t="s">
        <v>1270</v>
      </c>
      <c r="D163" s="35" t="s">
        <v>1271</v>
      </c>
      <c r="E163" s="52" t="s">
        <v>1497</v>
      </c>
      <c r="F163" s="52" t="s">
        <v>1497</v>
      </c>
      <c r="G163" s="36" t="s">
        <v>1089</v>
      </c>
      <c r="H163" s="38" t="s">
        <v>1117</v>
      </c>
      <c r="I163" s="38" t="s">
        <v>1204</v>
      </c>
      <c r="J163" s="38" t="s">
        <v>1498</v>
      </c>
      <c r="K163" s="57"/>
      <c r="L163" s="42"/>
      <c r="M163" s="71"/>
      <c r="N163" s="71"/>
      <c r="O163" s="39">
        <f t="shared" si="29"/>
        <v>0</v>
      </c>
      <c r="P163" s="38" t="s">
        <v>1098</v>
      </c>
      <c r="Q163" s="38"/>
      <c r="R163" s="38" t="s">
        <v>1092</v>
      </c>
      <c r="S163" s="38" t="s">
        <v>1105</v>
      </c>
      <c r="T163" s="36" t="s">
        <v>1112</v>
      </c>
      <c r="U163" s="36" t="str">
        <f t="shared" si="31"/>
        <v>Not Included</v>
      </c>
      <c r="V163" s="38"/>
      <c r="W163" s="38"/>
      <c r="X163" s="48"/>
      <c r="Y163" s="48"/>
      <c r="Z163" s="48"/>
      <c r="AA163" s="48"/>
      <c r="AB163" s="48"/>
      <c r="AC163" s="48"/>
      <c r="AD163" s="48"/>
      <c r="AE163" s="48"/>
      <c r="AF163" s="48"/>
      <c r="AG163" s="48"/>
      <c r="AH163" s="48"/>
      <c r="AI163" s="48"/>
    </row>
    <row r="164" ht="15.75" customHeight="1">
      <c r="A164" s="36" t="s">
        <v>124</v>
      </c>
      <c r="B164" s="35" t="s">
        <v>1269</v>
      </c>
      <c r="C164" s="35" t="s">
        <v>1270</v>
      </c>
      <c r="D164" s="35" t="s">
        <v>1271</v>
      </c>
      <c r="E164" s="52" t="s">
        <v>1499</v>
      </c>
      <c r="F164" s="52" t="s">
        <v>1499</v>
      </c>
      <c r="G164" s="36" t="s">
        <v>1089</v>
      </c>
      <c r="H164" s="38" t="s">
        <v>1117</v>
      </c>
      <c r="I164" s="38" t="s">
        <v>1204</v>
      </c>
      <c r="J164" s="38" t="s">
        <v>1498</v>
      </c>
      <c r="K164" s="57"/>
      <c r="L164" s="42"/>
      <c r="M164" s="71"/>
      <c r="N164" s="71"/>
      <c r="O164" s="39">
        <f t="shared" si="29"/>
        <v>0</v>
      </c>
      <c r="P164" s="38" t="s">
        <v>1098</v>
      </c>
      <c r="Q164" s="38"/>
      <c r="R164" s="38" t="s">
        <v>1092</v>
      </c>
      <c r="S164" s="38" t="s">
        <v>1105</v>
      </c>
      <c r="T164" s="36" t="s">
        <v>1112</v>
      </c>
      <c r="U164" s="36" t="str">
        <f t="shared" si="31"/>
        <v>Not Included</v>
      </c>
      <c r="V164" s="38"/>
      <c r="W164" s="38"/>
      <c r="X164" s="48"/>
      <c r="Y164" s="48"/>
      <c r="Z164" s="48"/>
      <c r="AA164" s="48"/>
      <c r="AB164" s="48"/>
      <c r="AC164" s="48"/>
      <c r="AD164" s="48"/>
      <c r="AE164" s="48"/>
      <c r="AF164" s="48"/>
      <c r="AG164" s="48"/>
      <c r="AH164" s="48"/>
      <c r="AI164" s="48"/>
    </row>
    <row r="165" ht="15.75" customHeight="1">
      <c r="A165" s="36" t="s">
        <v>124</v>
      </c>
      <c r="B165" s="35" t="s">
        <v>1269</v>
      </c>
      <c r="C165" s="35" t="s">
        <v>1270</v>
      </c>
      <c r="D165" s="35" t="s">
        <v>1271</v>
      </c>
      <c r="E165" s="52" t="s">
        <v>1500</v>
      </c>
      <c r="F165" s="52" t="s">
        <v>1500</v>
      </c>
      <c r="G165" s="36" t="s">
        <v>1089</v>
      </c>
      <c r="H165" s="38" t="s">
        <v>1117</v>
      </c>
      <c r="I165" s="38" t="s">
        <v>1480</v>
      </c>
      <c r="J165" s="57" t="s">
        <v>1285</v>
      </c>
      <c r="K165" s="38"/>
      <c r="L165" s="42"/>
      <c r="M165" s="71"/>
      <c r="N165" s="73"/>
      <c r="O165" s="39">
        <v>0.0</v>
      </c>
      <c r="P165" s="38" t="s">
        <v>1098</v>
      </c>
      <c r="Q165" s="38"/>
      <c r="R165" s="38" t="s">
        <v>1092</v>
      </c>
      <c r="S165" s="38" t="s">
        <v>1105</v>
      </c>
      <c r="T165" s="36" t="s">
        <v>1112</v>
      </c>
      <c r="U165" s="36" t="str">
        <f t="shared" si="31"/>
        <v>Not Included</v>
      </c>
      <c r="V165" s="38"/>
      <c r="W165" s="38"/>
      <c r="X165" s="48"/>
      <c r="Y165" s="48"/>
      <c r="Z165" s="48"/>
      <c r="AA165" s="48"/>
      <c r="AB165" s="48"/>
      <c r="AC165" s="48"/>
      <c r="AD165" s="48"/>
      <c r="AE165" s="48"/>
      <c r="AF165" s="48"/>
      <c r="AG165" s="48"/>
      <c r="AH165" s="48"/>
      <c r="AI165" s="48"/>
    </row>
    <row r="166" ht="15.75" customHeight="1">
      <c r="A166" s="36" t="s">
        <v>124</v>
      </c>
      <c r="B166" s="35" t="s">
        <v>1269</v>
      </c>
      <c r="C166" s="35" t="s">
        <v>1270</v>
      </c>
      <c r="D166" s="35" t="s">
        <v>1271</v>
      </c>
      <c r="E166" s="52" t="s">
        <v>1501</v>
      </c>
      <c r="F166" s="52" t="s">
        <v>1501</v>
      </c>
      <c r="G166" s="36" t="s">
        <v>1089</v>
      </c>
      <c r="H166" s="38" t="s">
        <v>1117</v>
      </c>
      <c r="I166" s="38" t="s">
        <v>646</v>
      </c>
      <c r="J166" s="57" t="s">
        <v>1502</v>
      </c>
      <c r="K166" s="38"/>
      <c r="L166" s="42"/>
      <c r="M166" s="71"/>
      <c r="N166" s="71"/>
      <c r="O166" s="39">
        <f t="shared" ref="O166:O186" si="32">M166+N166</f>
        <v>0</v>
      </c>
      <c r="P166" s="38" t="s">
        <v>1098</v>
      </c>
      <c r="Q166" s="38"/>
      <c r="R166" s="38" t="s">
        <v>1311</v>
      </c>
      <c r="S166" s="38" t="s">
        <v>1105</v>
      </c>
      <c r="T166" s="36" t="s">
        <v>1112</v>
      </c>
      <c r="U166" s="36" t="str">
        <f t="shared" si="31"/>
        <v>Not Included</v>
      </c>
      <c r="V166" s="38"/>
      <c r="W166" s="38"/>
      <c r="X166" s="48"/>
      <c r="Y166" s="48"/>
      <c r="Z166" s="48"/>
      <c r="AA166" s="48"/>
      <c r="AB166" s="48"/>
      <c r="AC166" s="48"/>
      <c r="AD166" s="48"/>
      <c r="AE166" s="48"/>
      <c r="AF166" s="48"/>
      <c r="AG166" s="48"/>
      <c r="AH166" s="48"/>
      <c r="AI166" s="48"/>
    </row>
    <row r="167" ht="15.75" customHeight="1">
      <c r="A167" s="36" t="s">
        <v>124</v>
      </c>
      <c r="B167" s="35" t="s">
        <v>1269</v>
      </c>
      <c r="C167" s="35" t="s">
        <v>1270</v>
      </c>
      <c r="D167" s="35" t="s">
        <v>1271</v>
      </c>
      <c r="E167" s="52" t="s">
        <v>1503</v>
      </c>
      <c r="F167" s="37"/>
      <c r="G167" s="36" t="str">
        <f t="shared" ref="G167:G168" si="33">IF(J167&lt;&gt;"CARB", "yes", "CARB")</f>
        <v>yes</v>
      </c>
      <c r="H167" s="38" t="s">
        <v>162</v>
      </c>
      <c r="I167" s="38" t="s">
        <v>1504</v>
      </c>
      <c r="J167" s="38"/>
      <c r="K167" s="57"/>
      <c r="L167" s="42"/>
      <c r="M167" s="71"/>
      <c r="N167" s="71"/>
      <c r="O167" s="39">
        <f t="shared" si="32"/>
        <v>0</v>
      </c>
      <c r="P167" s="38" t="s">
        <v>1098</v>
      </c>
      <c r="Q167" s="38"/>
      <c r="R167" s="36" t="s">
        <v>1243</v>
      </c>
      <c r="S167" s="38" t="s">
        <v>1100</v>
      </c>
      <c r="T167" s="38" t="s">
        <v>1112</v>
      </c>
      <c r="U167" s="36" t="str">
        <f t="shared" si="31"/>
        <v>Not Included</v>
      </c>
      <c r="V167" s="38"/>
      <c r="W167" s="38"/>
      <c r="X167" s="48"/>
      <c r="Y167" s="48"/>
      <c r="Z167" s="48"/>
      <c r="AA167" s="48"/>
      <c r="AB167" s="48"/>
      <c r="AC167" s="48"/>
      <c r="AD167" s="48"/>
      <c r="AE167" s="48"/>
      <c r="AF167" s="48"/>
      <c r="AG167" s="48"/>
      <c r="AH167" s="48"/>
      <c r="AI167" s="48"/>
    </row>
    <row r="168" ht="15.75" customHeight="1">
      <c r="A168" s="36" t="s">
        <v>124</v>
      </c>
      <c r="B168" s="35" t="s">
        <v>1269</v>
      </c>
      <c r="C168" s="35" t="s">
        <v>1270</v>
      </c>
      <c r="D168" s="35" t="s">
        <v>1271</v>
      </c>
      <c r="E168" s="52" t="s">
        <v>1505</v>
      </c>
      <c r="F168" s="37"/>
      <c r="G168" s="36" t="str">
        <f t="shared" si="33"/>
        <v>yes</v>
      </c>
      <c r="H168" s="38" t="s">
        <v>162</v>
      </c>
      <c r="I168" s="38" t="s">
        <v>1239</v>
      </c>
      <c r="J168" s="38"/>
      <c r="K168" s="57"/>
      <c r="L168" s="42"/>
      <c r="M168" s="71"/>
      <c r="N168" s="71"/>
      <c r="O168" s="39">
        <f t="shared" si="32"/>
        <v>0</v>
      </c>
      <c r="P168" s="38" t="s">
        <v>1098</v>
      </c>
      <c r="Q168" s="38"/>
      <c r="R168" s="38" t="s">
        <v>1506</v>
      </c>
      <c r="S168" s="38" t="s">
        <v>1100</v>
      </c>
      <c r="T168" s="38" t="s">
        <v>1112</v>
      </c>
      <c r="U168" s="36" t="str">
        <f t="shared" si="31"/>
        <v>Not Included</v>
      </c>
      <c r="V168" s="38"/>
      <c r="W168" s="38"/>
      <c r="X168" s="48"/>
      <c r="Y168" s="48"/>
      <c r="Z168" s="48"/>
      <c r="AA168" s="48"/>
      <c r="AB168" s="48"/>
      <c r="AC168" s="48"/>
      <c r="AD168" s="48"/>
      <c r="AE168" s="48"/>
      <c r="AF168" s="48"/>
      <c r="AG168" s="48"/>
      <c r="AH168" s="48"/>
      <c r="AI168" s="48"/>
    </row>
    <row r="169" ht="103.5" customHeight="1">
      <c r="A169" s="36" t="s">
        <v>124</v>
      </c>
      <c r="B169" s="35" t="s">
        <v>1269</v>
      </c>
      <c r="C169" s="35" t="s">
        <v>1270</v>
      </c>
      <c r="D169" s="35" t="s">
        <v>1271</v>
      </c>
      <c r="E169" s="36" t="s">
        <v>150</v>
      </c>
      <c r="F169" s="36" t="s">
        <v>151</v>
      </c>
      <c r="G169" s="36" t="s">
        <v>1089</v>
      </c>
      <c r="H169" s="38" t="s">
        <v>153</v>
      </c>
      <c r="I169" s="38" t="s">
        <v>1241</v>
      </c>
      <c r="J169" s="42" t="s">
        <v>1507</v>
      </c>
      <c r="K169" s="42">
        <v>1.73E7</v>
      </c>
      <c r="L169" s="42">
        <v>1.2903317E7</v>
      </c>
      <c r="M169" s="42"/>
      <c r="N169" s="42">
        <v>1.2903317E7</v>
      </c>
      <c r="O169" s="39">
        <f t="shared" si="32"/>
        <v>12903317</v>
      </c>
      <c r="P169" s="36">
        <v>1.0</v>
      </c>
      <c r="Q169" s="36"/>
      <c r="R169" s="38" t="s">
        <v>1352</v>
      </c>
      <c r="S169" s="38" t="s">
        <v>1093</v>
      </c>
      <c r="T169" s="38" t="s">
        <v>1094</v>
      </c>
      <c r="U169" s="36" t="str">
        <f t="shared" si="31"/>
        <v>1. Easy</v>
      </c>
      <c r="V169" s="38"/>
      <c r="W169" s="38"/>
      <c r="X169" s="50"/>
      <c r="Y169" s="50"/>
      <c r="Z169" s="50"/>
      <c r="AA169" s="50"/>
      <c r="AB169" s="50"/>
      <c r="AC169" s="50"/>
      <c r="AD169" s="50"/>
      <c r="AE169" s="50"/>
      <c r="AF169" s="50"/>
      <c r="AG169" s="50"/>
      <c r="AH169" s="50"/>
    </row>
    <row r="170" ht="15.75" customHeight="1">
      <c r="A170" s="36" t="s">
        <v>124</v>
      </c>
      <c r="B170" s="35" t="s">
        <v>1269</v>
      </c>
      <c r="C170" s="35" t="s">
        <v>1270</v>
      </c>
      <c r="D170" s="35" t="s">
        <v>1271</v>
      </c>
      <c r="E170" s="36" t="s">
        <v>1302</v>
      </c>
      <c r="F170" s="36" t="s">
        <v>1302</v>
      </c>
      <c r="G170" s="36" t="s">
        <v>1089</v>
      </c>
      <c r="H170" s="37" t="s">
        <v>153</v>
      </c>
      <c r="I170" s="37" t="s">
        <v>1250</v>
      </c>
      <c r="J170" s="42" t="s">
        <v>1508</v>
      </c>
      <c r="K170" s="42"/>
      <c r="L170" s="42"/>
      <c r="M170" s="42"/>
      <c r="N170" s="42">
        <f>150161+145966</f>
        <v>296127</v>
      </c>
      <c r="O170" s="39">
        <f t="shared" si="32"/>
        <v>296127</v>
      </c>
      <c r="P170" s="36">
        <v>1.0</v>
      </c>
      <c r="Q170" s="36"/>
      <c r="R170" s="38" t="s">
        <v>1243</v>
      </c>
      <c r="S170" s="38" t="s">
        <v>1093</v>
      </c>
      <c r="T170" s="38" t="s">
        <v>1094</v>
      </c>
      <c r="U170" s="36" t="str">
        <f t="shared" si="31"/>
        <v>1. Easy</v>
      </c>
      <c r="V170" s="38" t="s">
        <v>1268</v>
      </c>
      <c r="W170" s="38"/>
      <c r="X170" s="50"/>
      <c r="Y170" s="50"/>
      <c r="Z170" s="50"/>
      <c r="AA170" s="50"/>
      <c r="AB170" s="50"/>
      <c r="AC170" s="50"/>
      <c r="AD170" s="50"/>
      <c r="AE170" s="50"/>
      <c r="AF170" s="50"/>
      <c r="AG170" s="50"/>
      <c r="AH170" s="50"/>
    </row>
    <row r="171" ht="15.75" customHeight="1">
      <c r="A171" s="35" t="s">
        <v>396</v>
      </c>
      <c r="B171" s="36" t="s">
        <v>1509</v>
      </c>
      <c r="C171" s="35" t="s">
        <v>1510</v>
      </c>
      <c r="D171" s="35" t="s">
        <v>1256</v>
      </c>
      <c r="E171" s="38" t="s">
        <v>1302</v>
      </c>
      <c r="F171" s="37"/>
      <c r="G171" s="38" t="s">
        <v>1089</v>
      </c>
      <c r="H171" s="38" t="s">
        <v>1257</v>
      </c>
      <c r="I171" s="38" t="s">
        <v>1265</v>
      </c>
      <c r="J171" s="38" t="s">
        <v>1511</v>
      </c>
      <c r="K171" s="38"/>
      <c r="L171" s="39"/>
      <c r="M171" s="56"/>
      <c r="N171" s="56">
        <v>585027.0</v>
      </c>
      <c r="O171" s="39">
        <f t="shared" si="32"/>
        <v>585027</v>
      </c>
      <c r="P171" s="36" t="str">
        <f>IF(AND((M171+N171)&gt;0,L171=0),"1",IF(AND((M171+N171)=0,L171=0),0,(M171+N171)/L171))</f>
        <v>1</v>
      </c>
      <c r="Q171" s="36"/>
      <c r="R171" s="36" t="s">
        <v>1092</v>
      </c>
      <c r="S171" s="36" t="s">
        <v>1105</v>
      </c>
      <c r="T171" s="36" t="s">
        <v>1112</v>
      </c>
      <c r="U171" s="36" t="str">
        <f t="shared" si="31"/>
        <v>1. Easy</v>
      </c>
      <c r="V171" s="36"/>
      <c r="W171" s="38" t="s">
        <v>1307</v>
      </c>
      <c r="X171" s="40"/>
      <c r="Y171" s="40"/>
      <c r="Z171" s="40"/>
      <c r="AA171" s="40"/>
      <c r="AB171" s="40"/>
      <c r="AC171" s="40"/>
      <c r="AD171" s="40"/>
      <c r="AE171" s="40"/>
      <c r="AF171" s="40"/>
      <c r="AG171" s="40"/>
      <c r="AH171" s="40"/>
      <c r="AI171" s="45"/>
    </row>
    <row r="172" ht="15.75" customHeight="1">
      <c r="A172" s="36" t="s">
        <v>124</v>
      </c>
      <c r="B172" s="35" t="s">
        <v>1269</v>
      </c>
      <c r="C172" s="35" t="s">
        <v>1270</v>
      </c>
      <c r="D172" s="35" t="s">
        <v>1271</v>
      </c>
      <c r="E172" s="52" t="s">
        <v>1512</v>
      </c>
      <c r="F172" s="38" t="s">
        <v>1513</v>
      </c>
      <c r="G172" s="38" t="s">
        <v>1089</v>
      </c>
      <c r="H172" s="38" t="s">
        <v>1314</v>
      </c>
      <c r="I172" s="38" t="s">
        <v>646</v>
      </c>
      <c r="J172" s="38" t="s">
        <v>1514</v>
      </c>
      <c r="K172" s="57"/>
      <c r="L172" s="42"/>
      <c r="M172" s="71"/>
      <c r="N172" s="71"/>
      <c r="O172" s="39">
        <f t="shared" si="32"/>
        <v>0</v>
      </c>
      <c r="P172" s="36" t="s">
        <v>1098</v>
      </c>
      <c r="Q172" s="36"/>
      <c r="R172" s="38" t="s">
        <v>1092</v>
      </c>
      <c r="S172" s="38" t="s">
        <v>1105</v>
      </c>
      <c r="T172" s="38" t="s">
        <v>1112</v>
      </c>
      <c r="U172" s="36" t="str">
        <f t="shared" si="31"/>
        <v>Not Included</v>
      </c>
      <c r="V172" s="38"/>
      <c r="W172" s="38"/>
      <c r="X172" s="48"/>
      <c r="Y172" s="48"/>
      <c r="Z172" s="48"/>
      <c r="AA172" s="48"/>
      <c r="AB172" s="48"/>
      <c r="AC172" s="48"/>
      <c r="AD172" s="48"/>
      <c r="AE172" s="48"/>
      <c r="AF172" s="48"/>
      <c r="AG172" s="48"/>
      <c r="AH172" s="48"/>
      <c r="AI172" s="48"/>
    </row>
    <row r="173" ht="15.75" customHeight="1">
      <c r="A173" s="36" t="s">
        <v>124</v>
      </c>
      <c r="B173" s="35" t="s">
        <v>1269</v>
      </c>
      <c r="C173" s="35" t="s">
        <v>1270</v>
      </c>
      <c r="D173" s="35" t="s">
        <v>1271</v>
      </c>
      <c r="E173" s="52" t="s">
        <v>1515</v>
      </c>
      <c r="F173" s="37"/>
      <c r="G173" s="38" t="s">
        <v>1089</v>
      </c>
      <c r="H173" s="38" t="s">
        <v>1097</v>
      </c>
      <c r="I173" s="38" t="s">
        <v>1329</v>
      </c>
      <c r="J173" s="38" t="s">
        <v>1516</v>
      </c>
      <c r="K173" s="57"/>
      <c r="L173" s="42"/>
      <c r="M173" s="71"/>
      <c r="N173" s="71"/>
      <c r="O173" s="39">
        <f t="shared" si="32"/>
        <v>0</v>
      </c>
      <c r="P173" s="38" t="s">
        <v>1098</v>
      </c>
      <c r="Q173" s="38"/>
      <c r="R173" s="36" t="s">
        <v>1092</v>
      </c>
      <c r="S173" s="38" t="s">
        <v>1105</v>
      </c>
      <c r="T173" s="38" t="s">
        <v>1112</v>
      </c>
      <c r="U173" s="36" t="str">
        <f t="shared" si="31"/>
        <v>Not Included</v>
      </c>
      <c r="V173" s="38"/>
      <c r="W173" s="38"/>
      <c r="X173" s="48"/>
      <c r="Y173" s="48"/>
      <c r="Z173" s="48"/>
      <c r="AA173" s="48"/>
      <c r="AB173" s="48"/>
      <c r="AC173" s="48"/>
      <c r="AD173" s="48"/>
      <c r="AE173" s="48"/>
      <c r="AF173" s="48"/>
      <c r="AG173" s="48"/>
      <c r="AH173" s="48"/>
      <c r="AI173" s="48"/>
    </row>
    <row r="174" ht="15.75" customHeight="1">
      <c r="A174" s="36" t="s">
        <v>124</v>
      </c>
      <c r="B174" s="35" t="s">
        <v>1269</v>
      </c>
      <c r="C174" s="35" t="s">
        <v>1270</v>
      </c>
      <c r="D174" s="35" t="s">
        <v>1271</v>
      </c>
      <c r="E174" s="52" t="s">
        <v>1517</v>
      </c>
      <c r="F174" s="37"/>
      <c r="G174" s="38" t="s">
        <v>1089</v>
      </c>
      <c r="H174" s="38" t="s">
        <v>1097</v>
      </c>
      <c r="I174" s="38" t="s">
        <v>1329</v>
      </c>
      <c r="J174" s="38" t="s">
        <v>1518</v>
      </c>
      <c r="K174" s="57"/>
      <c r="L174" s="42"/>
      <c r="M174" s="71"/>
      <c r="N174" s="71"/>
      <c r="O174" s="39">
        <f t="shared" si="32"/>
        <v>0</v>
      </c>
      <c r="P174" s="38" t="s">
        <v>1098</v>
      </c>
      <c r="Q174" s="38"/>
      <c r="R174" s="36" t="s">
        <v>1092</v>
      </c>
      <c r="S174" s="38" t="s">
        <v>1105</v>
      </c>
      <c r="T174" s="38" t="s">
        <v>1112</v>
      </c>
      <c r="U174" s="36" t="str">
        <f t="shared" si="31"/>
        <v>Not Included</v>
      </c>
      <c r="V174" s="38"/>
      <c r="W174" s="38"/>
      <c r="X174" s="48"/>
      <c r="Y174" s="48"/>
      <c r="Z174" s="48"/>
      <c r="AA174" s="48"/>
      <c r="AB174" s="48"/>
      <c r="AC174" s="48"/>
      <c r="AD174" s="48"/>
      <c r="AE174" s="48"/>
      <c r="AF174" s="48"/>
      <c r="AG174" s="48"/>
      <c r="AH174" s="48"/>
      <c r="AI174" s="48"/>
    </row>
    <row r="175" ht="15.75" customHeight="1">
      <c r="A175" s="36" t="s">
        <v>124</v>
      </c>
      <c r="B175" s="35" t="s">
        <v>1269</v>
      </c>
      <c r="C175" s="35" t="s">
        <v>1270</v>
      </c>
      <c r="D175" s="35" t="s">
        <v>1271</v>
      </c>
      <c r="E175" s="52" t="s">
        <v>1519</v>
      </c>
      <c r="F175" s="37"/>
      <c r="G175" s="38" t="s">
        <v>1089</v>
      </c>
      <c r="H175" s="38" t="s">
        <v>1097</v>
      </c>
      <c r="I175" s="38" t="s">
        <v>1520</v>
      </c>
      <c r="J175" s="38"/>
      <c r="K175" s="57"/>
      <c r="L175" s="42"/>
      <c r="M175" s="71"/>
      <c r="N175" s="71"/>
      <c r="O175" s="39">
        <f t="shared" si="32"/>
        <v>0</v>
      </c>
      <c r="P175" s="38" t="s">
        <v>1098</v>
      </c>
      <c r="Q175" s="38"/>
      <c r="R175" s="36" t="s">
        <v>1092</v>
      </c>
      <c r="S175" s="38" t="s">
        <v>1105</v>
      </c>
      <c r="T175" s="38" t="s">
        <v>1112</v>
      </c>
      <c r="U175" s="36" t="str">
        <f t="shared" si="31"/>
        <v>Not Included</v>
      </c>
      <c r="V175" s="38"/>
      <c r="W175" s="38"/>
      <c r="X175" s="48"/>
      <c r="Y175" s="48"/>
      <c r="Z175" s="48"/>
      <c r="AA175" s="48"/>
      <c r="AB175" s="48"/>
      <c r="AC175" s="48"/>
      <c r="AD175" s="48"/>
      <c r="AE175" s="48"/>
      <c r="AF175" s="48"/>
      <c r="AG175" s="48"/>
      <c r="AH175" s="48"/>
      <c r="AI175" s="48"/>
    </row>
    <row r="176" ht="15.75" customHeight="1">
      <c r="A176" s="36" t="s">
        <v>124</v>
      </c>
      <c r="B176" s="35" t="s">
        <v>1269</v>
      </c>
      <c r="C176" s="35" t="s">
        <v>1270</v>
      </c>
      <c r="D176" s="35" t="s">
        <v>1271</v>
      </c>
      <c r="E176" s="52" t="s">
        <v>1521</v>
      </c>
      <c r="F176" s="37"/>
      <c r="G176" s="38" t="s">
        <v>1089</v>
      </c>
      <c r="H176" s="38" t="s">
        <v>1097</v>
      </c>
      <c r="I176" s="38" t="s">
        <v>1329</v>
      </c>
      <c r="J176" s="38"/>
      <c r="K176" s="57"/>
      <c r="L176" s="42"/>
      <c r="M176" s="71"/>
      <c r="N176" s="71"/>
      <c r="O176" s="39">
        <f t="shared" si="32"/>
        <v>0</v>
      </c>
      <c r="P176" s="38" t="s">
        <v>1098</v>
      </c>
      <c r="Q176" s="38"/>
      <c r="R176" s="36" t="s">
        <v>1092</v>
      </c>
      <c r="S176" s="38" t="s">
        <v>1105</v>
      </c>
      <c r="T176" s="38" t="s">
        <v>1112</v>
      </c>
      <c r="U176" s="36" t="str">
        <f t="shared" si="31"/>
        <v>Not Included</v>
      </c>
      <c r="V176" s="38"/>
      <c r="W176" s="38"/>
      <c r="X176" s="48"/>
      <c r="Y176" s="48"/>
      <c r="Z176" s="48"/>
      <c r="AA176" s="48"/>
      <c r="AB176" s="48"/>
      <c r="AC176" s="48"/>
      <c r="AD176" s="48"/>
      <c r="AE176" s="48"/>
      <c r="AF176" s="48"/>
      <c r="AG176" s="48"/>
      <c r="AH176" s="48"/>
      <c r="AI176" s="48"/>
    </row>
    <row r="177" ht="15.75" customHeight="1">
      <c r="A177" s="36" t="s">
        <v>124</v>
      </c>
      <c r="B177" s="35" t="s">
        <v>1269</v>
      </c>
      <c r="C177" s="35" t="s">
        <v>1270</v>
      </c>
      <c r="D177" s="35" t="s">
        <v>1271</v>
      </c>
      <c r="E177" s="52" t="s">
        <v>1522</v>
      </c>
      <c r="F177" s="37"/>
      <c r="G177" s="38" t="s">
        <v>1089</v>
      </c>
      <c r="H177" s="38" t="s">
        <v>1097</v>
      </c>
      <c r="I177" s="38" t="s">
        <v>1412</v>
      </c>
      <c r="J177" s="38" t="s">
        <v>1523</v>
      </c>
      <c r="K177" s="57"/>
      <c r="L177" s="42"/>
      <c r="M177" s="42"/>
      <c r="N177" s="42"/>
      <c r="O177" s="39">
        <f t="shared" si="32"/>
        <v>0</v>
      </c>
      <c r="P177" s="38" t="s">
        <v>1098</v>
      </c>
      <c r="Q177" s="38"/>
      <c r="R177" s="36" t="s">
        <v>1524</v>
      </c>
      <c r="S177" s="38" t="s">
        <v>1105</v>
      </c>
      <c r="T177" s="38" t="s">
        <v>1112</v>
      </c>
      <c r="U177" s="36" t="str">
        <f t="shared" si="31"/>
        <v>Not Included</v>
      </c>
      <c r="V177" s="38"/>
      <c r="W177" s="38"/>
      <c r="X177" s="48"/>
      <c r="Y177" s="48"/>
      <c r="Z177" s="48"/>
      <c r="AA177" s="48"/>
      <c r="AB177" s="48"/>
      <c r="AC177" s="48"/>
      <c r="AD177" s="48"/>
      <c r="AE177" s="48"/>
      <c r="AF177" s="48"/>
      <c r="AG177" s="48"/>
      <c r="AH177" s="48"/>
      <c r="AI177" s="48"/>
    </row>
    <row r="178" ht="15.75" customHeight="1">
      <c r="A178" s="36" t="s">
        <v>124</v>
      </c>
      <c r="B178" s="35" t="s">
        <v>1269</v>
      </c>
      <c r="C178" s="35" t="s">
        <v>1270</v>
      </c>
      <c r="D178" s="35" t="s">
        <v>1271</v>
      </c>
      <c r="E178" s="52" t="s">
        <v>1525</v>
      </c>
      <c r="F178" s="37"/>
      <c r="G178" s="38" t="s">
        <v>1089</v>
      </c>
      <c r="H178" s="38" t="s">
        <v>1129</v>
      </c>
      <c r="I178" s="38" t="s">
        <v>1329</v>
      </c>
      <c r="J178" s="38"/>
      <c r="K178" s="57"/>
      <c r="L178" s="42"/>
      <c r="M178" s="71"/>
      <c r="N178" s="71"/>
      <c r="O178" s="39">
        <f t="shared" si="32"/>
        <v>0</v>
      </c>
      <c r="P178" s="38" t="s">
        <v>1098</v>
      </c>
      <c r="Q178" s="38"/>
      <c r="R178" s="37" t="s">
        <v>1092</v>
      </c>
      <c r="S178" s="38" t="s">
        <v>1105</v>
      </c>
      <c r="T178" s="38" t="s">
        <v>1112</v>
      </c>
      <c r="U178" s="36" t="str">
        <f t="shared" si="31"/>
        <v>Not Included</v>
      </c>
      <c r="V178" s="38"/>
      <c r="W178" s="38"/>
      <c r="X178" s="48"/>
      <c r="Y178" s="48"/>
      <c r="Z178" s="48"/>
      <c r="AA178" s="48"/>
      <c r="AB178" s="48"/>
      <c r="AC178" s="48"/>
      <c r="AD178" s="48"/>
      <c r="AE178" s="48"/>
      <c r="AF178" s="48"/>
      <c r="AG178" s="48"/>
      <c r="AH178" s="48"/>
      <c r="AI178" s="48"/>
    </row>
    <row r="179" ht="15.75" customHeight="1">
      <c r="A179" s="36" t="s">
        <v>124</v>
      </c>
      <c r="B179" s="35" t="s">
        <v>1269</v>
      </c>
      <c r="C179" s="35" t="s">
        <v>1270</v>
      </c>
      <c r="D179" s="35" t="s">
        <v>1271</v>
      </c>
      <c r="E179" s="52" t="s">
        <v>1526</v>
      </c>
      <c r="F179" s="37"/>
      <c r="G179" s="38" t="s">
        <v>1089</v>
      </c>
      <c r="H179" s="38" t="s">
        <v>1129</v>
      </c>
      <c r="I179" s="38" t="s">
        <v>1331</v>
      </c>
      <c r="J179" s="38"/>
      <c r="K179" s="57"/>
      <c r="L179" s="42"/>
      <c r="M179" s="71"/>
      <c r="N179" s="71"/>
      <c r="O179" s="39">
        <f t="shared" si="32"/>
        <v>0</v>
      </c>
      <c r="P179" s="38" t="s">
        <v>1098</v>
      </c>
      <c r="Q179" s="38"/>
      <c r="R179" s="37" t="s">
        <v>1092</v>
      </c>
      <c r="S179" s="38" t="s">
        <v>1105</v>
      </c>
      <c r="T179" s="38" t="s">
        <v>1112</v>
      </c>
      <c r="U179" s="36" t="str">
        <f t="shared" si="31"/>
        <v>Not Included</v>
      </c>
      <c r="V179" s="38"/>
      <c r="W179" s="38"/>
      <c r="X179" s="48"/>
      <c r="Y179" s="48"/>
      <c r="Z179" s="48"/>
      <c r="AA179" s="48"/>
      <c r="AB179" s="48"/>
      <c r="AC179" s="48"/>
      <c r="AD179" s="48"/>
      <c r="AE179" s="48"/>
      <c r="AF179" s="48"/>
      <c r="AG179" s="48"/>
      <c r="AH179" s="48"/>
      <c r="AI179" s="48"/>
    </row>
    <row r="180" ht="15.75" customHeight="1">
      <c r="A180" s="36" t="s">
        <v>124</v>
      </c>
      <c r="B180" s="35" t="s">
        <v>1269</v>
      </c>
      <c r="C180" s="35" t="s">
        <v>1270</v>
      </c>
      <c r="D180" s="35" t="s">
        <v>1271</v>
      </c>
      <c r="E180" s="52" t="s">
        <v>1527</v>
      </c>
      <c r="F180" s="37"/>
      <c r="G180" s="38" t="s">
        <v>1089</v>
      </c>
      <c r="H180" s="38" t="s">
        <v>1129</v>
      </c>
      <c r="I180" s="38" t="s">
        <v>1528</v>
      </c>
      <c r="J180" s="37" t="s">
        <v>1122</v>
      </c>
      <c r="K180" s="57"/>
      <c r="L180" s="42"/>
      <c r="M180" s="71"/>
      <c r="N180" s="71"/>
      <c r="O180" s="39">
        <f t="shared" si="32"/>
        <v>0</v>
      </c>
      <c r="P180" s="38" t="s">
        <v>1098</v>
      </c>
      <c r="Q180" s="38"/>
      <c r="R180" s="37" t="s">
        <v>1092</v>
      </c>
      <c r="S180" s="38" t="s">
        <v>1105</v>
      </c>
      <c r="T180" s="38" t="s">
        <v>1112</v>
      </c>
      <c r="U180" s="36" t="str">
        <f t="shared" si="31"/>
        <v>Not Included</v>
      </c>
      <c r="V180" s="38"/>
      <c r="W180" s="38"/>
      <c r="X180" s="48"/>
      <c r="Y180" s="48"/>
      <c r="Z180" s="48"/>
      <c r="AA180" s="48"/>
      <c r="AB180" s="48"/>
      <c r="AC180" s="48"/>
      <c r="AD180" s="48"/>
      <c r="AE180" s="48"/>
      <c r="AF180" s="48"/>
      <c r="AG180" s="48"/>
      <c r="AH180" s="48"/>
      <c r="AI180" s="48"/>
    </row>
    <row r="181" ht="15.75" customHeight="1">
      <c r="A181" s="36" t="s">
        <v>124</v>
      </c>
      <c r="B181" s="35" t="s">
        <v>1269</v>
      </c>
      <c r="C181" s="35" t="s">
        <v>1270</v>
      </c>
      <c r="D181" s="35" t="s">
        <v>1271</v>
      </c>
      <c r="E181" s="36" t="s">
        <v>176</v>
      </c>
      <c r="F181" s="36" t="s">
        <v>175</v>
      </c>
      <c r="G181" s="38" t="s">
        <v>1089</v>
      </c>
      <c r="H181" s="38" t="s">
        <v>1529</v>
      </c>
      <c r="I181" s="38"/>
      <c r="J181" s="38"/>
      <c r="K181" s="38"/>
      <c r="L181" s="39">
        <v>4312500.0</v>
      </c>
      <c r="M181" s="39">
        <f>L181-N181</f>
        <v>1824116</v>
      </c>
      <c r="N181" s="39">
        <v>2488384.0</v>
      </c>
      <c r="O181" s="39">
        <f t="shared" si="32"/>
        <v>4312500</v>
      </c>
      <c r="P181" s="36">
        <f>IF(AND((M181+N181)&gt;0,L181=0),"No Funding Goal",IF(AND((M181+N181)=0,L181=0),0,(M181+N181)/L181))</f>
        <v>1</v>
      </c>
      <c r="Q181" s="36"/>
      <c r="R181" s="36" t="s">
        <v>1092</v>
      </c>
      <c r="S181" s="38" t="s">
        <v>1100</v>
      </c>
      <c r="T181" s="38" t="s">
        <v>1286</v>
      </c>
      <c r="U181" s="36" t="str">
        <f t="shared" si="31"/>
        <v>1. Easy</v>
      </c>
      <c r="V181" s="36" t="s">
        <v>1530</v>
      </c>
      <c r="W181" s="36" t="s">
        <v>1531</v>
      </c>
      <c r="X181" s="68"/>
      <c r="Y181" s="68"/>
      <c r="Z181" s="68"/>
      <c r="AA181" s="68"/>
      <c r="AB181" s="68"/>
      <c r="AC181" s="68"/>
      <c r="AD181" s="68"/>
      <c r="AE181" s="68"/>
      <c r="AF181" s="68"/>
      <c r="AG181" s="68"/>
      <c r="AH181" s="68"/>
    </row>
    <row r="182" ht="15.75" customHeight="1">
      <c r="A182" s="36" t="s">
        <v>124</v>
      </c>
      <c r="B182" s="35" t="s">
        <v>1269</v>
      </c>
      <c r="C182" s="35" t="s">
        <v>1270</v>
      </c>
      <c r="D182" s="35" t="s">
        <v>1271</v>
      </c>
      <c r="E182" s="52" t="s">
        <v>1532</v>
      </c>
      <c r="F182" s="37"/>
      <c r="G182" s="38" t="s">
        <v>1089</v>
      </c>
      <c r="H182" s="38" t="s">
        <v>1533</v>
      </c>
      <c r="I182" s="38" t="s">
        <v>1329</v>
      </c>
      <c r="J182" s="38" t="s">
        <v>1491</v>
      </c>
      <c r="K182" s="57"/>
      <c r="L182" s="42"/>
      <c r="M182" s="42"/>
      <c r="N182" s="42"/>
      <c r="O182" s="39">
        <f t="shared" si="32"/>
        <v>0</v>
      </c>
      <c r="P182" s="38" t="s">
        <v>1098</v>
      </c>
      <c r="Q182" s="38"/>
      <c r="R182" s="36" t="s">
        <v>1092</v>
      </c>
      <c r="S182" s="38" t="s">
        <v>1100</v>
      </c>
      <c r="T182" s="36" t="s">
        <v>1112</v>
      </c>
      <c r="U182" s="36" t="str">
        <f t="shared" si="31"/>
        <v>Not Included</v>
      </c>
      <c r="V182" s="38"/>
      <c r="W182" s="38"/>
      <c r="X182" s="48"/>
      <c r="Y182" s="48"/>
      <c r="Z182" s="48"/>
      <c r="AA182" s="48"/>
      <c r="AB182" s="48"/>
      <c r="AC182" s="48"/>
      <c r="AD182" s="48"/>
      <c r="AE182" s="48"/>
      <c r="AF182" s="48"/>
      <c r="AG182" s="48"/>
      <c r="AH182" s="48"/>
      <c r="AI182" s="48"/>
    </row>
    <row r="183" ht="15.75" customHeight="1">
      <c r="A183" s="36" t="s">
        <v>124</v>
      </c>
      <c r="B183" s="35" t="s">
        <v>1269</v>
      </c>
      <c r="C183" s="35" t="s">
        <v>1270</v>
      </c>
      <c r="D183" s="35" t="s">
        <v>1271</v>
      </c>
      <c r="E183" s="52" t="s">
        <v>1534</v>
      </c>
      <c r="F183" s="37"/>
      <c r="G183" s="38" t="s">
        <v>1089</v>
      </c>
      <c r="H183" s="38" t="s">
        <v>1533</v>
      </c>
      <c r="I183" s="38" t="s">
        <v>1329</v>
      </c>
      <c r="J183" s="38" t="s">
        <v>1502</v>
      </c>
      <c r="K183" s="57"/>
      <c r="L183" s="42"/>
      <c r="M183" s="42"/>
      <c r="N183" s="42"/>
      <c r="O183" s="39">
        <f t="shared" si="32"/>
        <v>0</v>
      </c>
      <c r="P183" s="38" t="s">
        <v>1098</v>
      </c>
      <c r="Q183" s="38"/>
      <c r="R183" s="36" t="s">
        <v>1092</v>
      </c>
      <c r="S183" s="38" t="s">
        <v>1100</v>
      </c>
      <c r="T183" s="36" t="s">
        <v>1112</v>
      </c>
      <c r="U183" s="36" t="str">
        <f t="shared" si="31"/>
        <v>Not Included</v>
      </c>
      <c r="V183" s="38"/>
      <c r="W183" s="38"/>
      <c r="X183" s="48"/>
      <c r="Y183" s="48"/>
      <c r="Z183" s="48"/>
      <c r="AA183" s="48"/>
      <c r="AB183" s="48"/>
      <c r="AC183" s="48"/>
      <c r="AD183" s="48"/>
      <c r="AE183" s="48"/>
      <c r="AF183" s="48"/>
      <c r="AG183" s="48"/>
      <c r="AH183" s="48"/>
      <c r="AI183" s="48"/>
    </row>
    <row r="184" ht="15.75" customHeight="1">
      <c r="A184" s="36" t="s">
        <v>124</v>
      </c>
      <c r="B184" s="35" t="s">
        <v>1269</v>
      </c>
      <c r="C184" s="35" t="s">
        <v>1270</v>
      </c>
      <c r="D184" s="35" t="s">
        <v>1271</v>
      </c>
      <c r="E184" s="52" t="s">
        <v>1535</v>
      </c>
      <c r="F184" s="37"/>
      <c r="G184" s="38" t="s">
        <v>1089</v>
      </c>
      <c r="H184" s="38" t="s">
        <v>1533</v>
      </c>
      <c r="I184" s="38" t="s">
        <v>1329</v>
      </c>
      <c r="J184" s="38" t="s">
        <v>1536</v>
      </c>
      <c r="K184" s="57"/>
      <c r="L184" s="42"/>
      <c r="M184" s="42"/>
      <c r="N184" s="42"/>
      <c r="O184" s="39">
        <f t="shared" si="32"/>
        <v>0</v>
      </c>
      <c r="P184" s="38" t="s">
        <v>1098</v>
      </c>
      <c r="Q184" s="38"/>
      <c r="R184" s="36" t="s">
        <v>1092</v>
      </c>
      <c r="S184" s="38" t="s">
        <v>1100</v>
      </c>
      <c r="T184" s="36" t="s">
        <v>1112</v>
      </c>
      <c r="U184" s="36" t="str">
        <f t="shared" si="31"/>
        <v>Not Included</v>
      </c>
      <c r="V184" s="38"/>
      <c r="W184" s="38"/>
      <c r="X184" s="48"/>
      <c r="Y184" s="48"/>
      <c r="Z184" s="48"/>
      <c r="AA184" s="48"/>
      <c r="AB184" s="48"/>
      <c r="AC184" s="48"/>
      <c r="AD184" s="48"/>
      <c r="AE184" s="48"/>
      <c r="AF184" s="48"/>
      <c r="AG184" s="48"/>
      <c r="AH184" s="48"/>
      <c r="AI184" s="48"/>
    </row>
    <row r="185" ht="15.75" customHeight="1">
      <c r="A185" s="36" t="s">
        <v>124</v>
      </c>
      <c r="B185" s="35" t="s">
        <v>1269</v>
      </c>
      <c r="C185" s="35" t="s">
        <v>1270</v>
      </c>
      <c r="D185" s="35" t="s">
        <v>1271</v>
      </c>
      <c r="E185" s="52" t="s">
        <v>1537</v>
      </c>
      <c r="F185" s="37"/>
      <c r="G185" s="38" t="s">
        <v>1089</v>
      </c>
      <c r="H185" s="38" t="s">
        <v>1533</v>
      </c>
      <c r="I185" s="38" t="s">
        <v>1329</v>
      </c>
      <c r="J185" s="38" t="s">
        <v>1538</v>
      </c>
      <c r="K185" s="57"/>
      <c r="L185" s="42"/>
      <c r="M185" s="42"/>
      <c r="N185" s="42"/>
      <c r="O185" s="39">
        <f t="shared" si="32"/>
        <v>0</v>
      </c>
      <c r="P185" s="38" t="s">
        <v>1098</v>
      </c>
      <c r="Q185" s="38"/>
      <c r="R185" s="36" t="s">
        <v>1092</v>
      </c>
      <c r="S185" s="38" t="s">
        <v>1100</v>
      </c>
      <c r="T185" s="36" t="s">
        <v>1112</v>
      </c>
      <c r="U185" s="36" t="str">
        <f t="shared" si="31"/>
        <v>Not Included</v>
      </c>
      <c r="V185" s="38"/>
      <c r="W185" s="38"/>
      <c r="X185" s="48"/>
      <c r="Y185" s="48"/>
      <c r="Z185" s="48"/>
      <c r="AA185" s="48"/>
      <c r="AB185" s="48"/>
      <c r="AC185" s="48"/>
      <c r="AD185" s="48"/>
      <c r="AE185" s="48"/>
      <c r="AF185" s="48"/>
      <c r="AG185" s="48"/>
      <c r="AH185" s="48"/>
      <c r="AI185" s="48"/>
    </row>
    <row r="186" ht="15.75" customHeight="1">
      <c r="A186" s="36" t="s">
        <v>124</v>
      </c>
      <c r="B186" s="35" t="s">
        <v>1269</v>
      </c>
      <c r="C186" s="35" t="s">
        <v>1270</v>
      </c>
      <c r="D186" s="35" t="s">
        <v>1271</v>
      </c>
      <c r="E186" s="52" t="s">
        <v>1539</v>
      </c>
      <c r="F186" s="37"/>
      <c r="G186" s="38" t="s">
        <v>1089</v>
      </c>
      <c r="H186" s="38" t="s">
        <v>1533</v>
      </c>
      <c r="I186" s="38" t="s">
        <v>1027</v>
      </c>
      <c r="J186" s="38" t="s">
        <v>1293</v>
      </c>
      <c r="K186" s="57"/>
      <c r="L186" s="42"/>
      <c r="M186" s="71"/>
      <c r="N186" s="71"/>
      <c r="O186" s="39">
        <f t="shared" si="32"/>
        <v>0</v>
      </c>
      <c r="P186" s="38" t="s">
        <v>1098</v>
      </c>
      <c r="Q186" s="38"/>
      <c r="R186" s="36" t="s">
        <v>1092</v>
      </c>
      <c r="S186" s="38" t="s">
        <v>1100</v>
      </c>
      <c r="T186" s="36" t="s">
        <v>1112</v>
      </c>
      <c r="U186" s="36" t="str">
        <f t="shared" si="31"/>
        <v>Not Included</v>
      </c>
      <c r="V186" s="38"/>
      <c r="W186" s="38"/>
      <c r="X186" s="48"/>
      <c r="Y186" s="48"/>
      <c r="Z186" s="48"/>
      <c r="AA186" s="48"/>
      <c r="AB186" s="48"/>
      <c r="AC186" s="48"/>
      <c r="AD186" s="48"/>
      <c r="AE186" s="48"/>
      <c r="AF186" s="48"/>
      <c r="AG186" s="48"/>
      <c r="AH186" s="48"/>
      <c r="AI186" s="48"/>
    </row>
    <row r="187" ht="102.0" customHeight="1">
      <c r="A187" s="36" t="s">
        <v>124</v>
      </c>
      <c r="B187" s="35" t="s">
        <v>1269</v>
      </c>
      <c r="C187" s="35" t="s">
        <v>1270</v>
      </c>
      <c r="D187" s="35" t="s">
        <v>1271</v>
      </c>
      <c r="E187" s="36" t="s">
        <v>693</v>
      </c>
      <c r="F187" s="36" t="s">
        <v>701</v>
      </c>
      <c r="G187" s="36" t="s">
        <v>1116</v>
      </c>
      <c r="H187" s="37" t="s">
        <v>1314</v>
      </c>
      <c r="I187" s="37" t="s">
        <v>646</v>
      </c>
      <c r="J187" s="38" t="s">
        <v>1540</v>
      </c>
      <c r="K187" s="38"/>
      <c r="L187" s="38"/>
      <c r="M187" s="38"/>
      <c r="N187" s="38"/>
      <c r="O187" s="38"/>
      <c r="P187" s="38" t="s">
        <v>1098</v>
      </c>
      <c r="Q187" s="38"/>
      <c r="R187" s="37"/>
      <c r="S187" s="38" t="s">
        <v>1105</v>
      </c>
      <c r="T187" s="38" t="s">
        <v>1106</v>
      </c>
      <c r="U187" s="36" t="str">
        <f t="shared" si="31"/>
        <v>Not Included</v>
      </c>
      <c r="V187" s="37" t="s">
        <v>1541</v>
      </c>
      <c r="W187" s="38" t="s">
        <v>1465</v>
      </c>
      <c r="X187" s="23"/>
      <c r="Y187" s="23"/>
      <c r="Z187" s="23"/>
      <c r="AA187" s="23"/>
      <c r="AB187" s="23"/>
      <c r="AC187" s="23"/>
      <c r="AD187" s="23"/>
      <c r="AE187" s="23"/>
      <c r="AF187" s="23"/>
      <c r="AG187" s="23"/>
      <c r="AH187" s="23"/>
      <c r="AI187" s="23"/>
    </row>
    <row r="188" ht="102.0" customHeight="1">
      <c r="A188" s="36" t="s">
        <v>124</v>
      </c>
      <c r="B188" s="35" t="s">
        <v>1269</v>
      </c>
      <c r="C188" s="35" t="s">
        <v>1270</v>
      </c>
      <c r="D188" s="35" t="s">
        <v>1271</v>
      </c>
      <c r="E188" s="36" t="s">
        <v>860</v>
      </c>
      <c r="F188" s="36" t="s">
        <v>861</v>
      </c>
      <c r="G188" s="36" t="s">
        <v>1116</v>
      </c>
      <c r="H188" s="37" t="s">
        <v>1139</v>
      </c>
      <c r="I188" s="37" t="s">
        <v>1238</v>
      </c>
      <c r="J188" s="38"/>
      <c r="K188" s="38"/>
      <c r="L188" s="38"/>
      <c r="M188" s="38"/>
      <c r="N188" s="38"/>
      <c r="O188" s="38"/>
      <c r="P188" s="38" t="s">
        <v>1098</v>
      </c>
      <c r="Q188" s="38"/>
      <c r="R188" s="37"/>
      <c r="S188" s="38"/>
      <c r="T188" s="38"/>
      <c r="U188" s="38"/>
      <c r="V188" s="37"/>
      <c r="W188" s="37"/>
    </row>
    <row r="189" ht="102.0" customHeight="1">
      <c r="A189" s="36" t="s">
        <v>124</v>
      </c>
      <c r="B189" s="35" t="s">
        <v>1269</v>
      </c>
      <c r="C189" s="35" t="s">
        <v>1270</v>
      </c>
      <c r="D189" s="35" t="s">
        <v>1271</v>
      </c>
      <c r="E189" s="36" t="s">
        <v>992</v>
      </c>
      <c r="F189" s="36" t="s">
        <v>993</v>
      </c>
      <c r="G189" s="36" t="s">
        <v>1116</v>
      </c>
      <c r="H189" s="37" t="s">
        <v>1139</v>
      </c>
      <c r="I189" s="37" t="s">
        <v>1238</v>
      </c>
      <c r="J189" s="38"/>
      <c r="K189" s="38"/>
      <c r="L189" s="38"/>
      <c r="M189" s="38"/>
      <c r="N189" s="38"/>
      <c r="O189" s="38"/>
      <c r="P189" s="38" t="s">
        <v>1098</v>
      </c>
      <c r="Q189" s="38"/>
      <c r="R189" s="37"/>
      <c r="S189" s="38"/>
      <c r="T189" s="38"/>
      <c r="U189" s="38"/>
      <c r="V189" s="38"/>
      <c r="W189" s="38"/>
      <c r="X189" s="23"/>
      <c r="Y189" s="23"/>
      <c r="Z189" s="23"/>
      <c r="AA189" s="23"/>
      <c r="AB189" s="23"/>
      <c r="AC189" s="23"/>
      <c r="AD189" s="23"/>
      <c r="AE189" s="23"/>
      <c r="AF189" s="23"/>
      <c r="AG189" s="23"/>
      <c r="AH189" s="23"/>
    </row>
    <row r="190" ht="102.0" customHeight="1">
      <c r="A190" s="36" t="s">
        <v>124</v>
      </c>
      <c r="B190" s="35" t="s">
        <v>1269</v>
      </c>
      <c r="C190" s="35" t="s">
        <v>1270</v>
      </c>
      <c r="D190" s="35" t="s">
        <v>1271</v>
      </c>
      <c r="E190" s="52" t="s">
        <v>1542</v>
      </c>
      <c r="F190" s="37"/>
      <c r="G190" s="36" t="s">
        <v>1116</v>
      </c>
      <c r="H190" s="37" t="s">
        <v>1139</v>
      </c>
      <c r="I190" s="37" t="s">
        <v>1238</v>
      </c>
      <c r="J190" s="38"/>
      <c r="K190" s="57"/>
      <c r="L190" s="57"/>
      <c r="M190" s="57"/>
      <c r="N190" s="57"/>
      <c r="O190" s="42"/>
      <c r="P190" s="38" t="s">
        <v>1098</v>
      </c>
      <c r="Q190" s="42"/>
      <c r="R190" s="38"/>
      <c r="S190" s="38"/>
      <c r="T190" s="38"/>
      <c r="U190" s="38"/>
      <c r="V190" s="38"/>
      <c r="W190" s="38"/>
      <c r="X190" s="48"/>
      <c r="Y190" s="48"/>
      <c r="Z190" s="48"/>
      <c r="AA190" s="48"/>
      <c r="AB190" s="48"/>
      <c r="AC190" s="48"/>
      <c r="AD190" s="48"/>
      <c r="AE190" s="48"/>
      <c r="AF190" s="48"/>
      <c r="AG190" s="48"/>
      <c r="AH190" s="48"/>
      <c r="AI190" s="48"/>
    </row>
    <row r="191" ht="102.0" customHeight="1">
      <c r="A191" s="36" t="s">
        <v>124</v>
      </c>
      <c r="B191" s="35" t="s">
        <v>1269</v>
      </c>
      <c r="C191" s="35" t="s">
        <v>1270</v>
      </c>
      <c r="D191" s="35" t="s">
        <v>1271</v>
      </c>
      <c r="E191" s="52" t="s">
        <v>1543</v>
      </c>
      <c r="F191" s="37"/>
      <c r="G191" s="36" t="s">
        <v>1116</v>
      </c>
      <c r="H191" s="38" t="s">
        <v>1139</v>
      </c>
      <c r="I191" s="38" t="s">
        <v>1516</v>
      </c>
      <c r="J191" s="38"/>
      <c r="K191" s="57"/>
      <c r="L191" s="57"/>
      <c r="M191" s="57"/>
      <c r="N191" s="57"/>
      <c r="O191" s="42"/>
      <c r="P191" s="38" t="s">
        <v>1098</v>
      </c>
      <c r="Q191" s="42"/>
      <c r="R191" s="38"/>
      <c r="S191" s="38"/>
      <c r="T191" s="38"/>
      <c r="U191" s="38"/>
      <c r="V191" s="38"/>
      <c r="W191" s="38"/>
      <c r="X191" s="48"/>
      <c r="Y191" s="48"/>
      <c r="Z191" s="48"/>
      <c r="AA191" s="48"/>
      <c r="AB191" s="48"/>
      <c r="AC191" s="48"/>
      <c r="AD191" s="48"/>
      <c r="AE191" s="48"/>
      <c r="AF191" s="48"/>
      <c r="AG191" s="48"/>
      <c r="AH191" s="48"/>
      <c r="AI191" s="48"/>
    </row>
    <row r="192" ht="102.0" customHeight="1">
      <c r="A192" s="36" t="s">
        <v>124</v>
      </c>
      <c r="B192" s="35" t="s">
        <v>1269</v>
      </c>
      <c r="C192" s="35" t="s">
        <v>1270</v>
      </c>
      <c r="D192" s="35" t="s">
        <v>1271</v>
      </c>
      <c r="E192" s="52" t="s">
        <v>1544</v>
      </c>
      <c r="F192" s="37"/>
      <c r="G192" s="38" t="s">
        <v>1139</v>
      </c>
      <c r="H192" s="38" t="s">
        <v>1139</v>
      </c>
      <c r="I192" s="38" t="s">
        <v>1516</v>
      </c>
      <c r="J192" s="38"/>
      <c r="K192" s="57"/>
      <c r="L192" s="57"/>
      <c r="M192" s="57"/>
      <c r="N192" s="57"/>
      <c r="O192" s="42"/>
      <c r="P192" s="38" t="s">
        <v>1098</v>
      </c>
      <c r="Q192" s="42"/>
      <c r="R192" s="38"/>
      <c r="S192" s="38"/>
      <c r="T192" s="38"/>
      <c r="U192" s="38"/>
      <c r="V192" s="38"/>
      <c r="W192" s="38"/>
      <c r="X192" s="48"/>
      <c r="Y192" s="48"/>
      <c r="Z192" s="48"/>
      <c r="AA192" s="48"/>
      <c r="AB192" s="48"/>
      <c r="AC192" s="48"/>
      <c r="AD192" s="48"/>
      <c r="AE192" s="48"/>
      <c r="AF192" s="48"/>
      <c r="AG192" s="48"/>
      <c r="AH192" s="48"/>
      <c r="AI192" s="48"/>
    </row>
    <row r="193" ht="102.0" customHeight="1">
      <c r="A193" s="35" t="s">
        <v>124</v>
      </c>
      <c r="B193" s="35" t="s">
        <v>1269</v>
      </c>
      <c r="C193" s="35" t="s">
        <v>1270</v>
      </c>
      <c r="D193" s="35" t="s">
        <v>1271</v>
      </c>
      <c r="E193" s="52" t="s">
        <v>1545</v>
      </c>
      <c r="F193" s="38"/>
      <c r="G193" s="38" t="s">
        <v>1089</v>
      </c>
      <c r="H193" s="36" t="s">
        <v>1090</v>
      </c>
      <c r="I193" s="74" t="s">
        <v>1312</v>
      </c>
      <c r="J193" s="38"/>
      <c r="K193" s="57"/>
      <c r="L193" s="42"/>
      <c r="M193" s="71"/>
      <c r="N193" s="71">
        <v>118000.0</v>
      </c>
      <c r="O193" s="39">
        <f t="shared" ref="O193:O194" si="34">M193+N193</f>
        <v>118000</v>
      </c>
      <c r="P193" s="36">
        <v>1.0</v>
      </c>
      <c r="Q193" s="36"/>
      <c r="R193" s="38" t="s">
        <v>1092</v>
      </c>
      <c r="S193" s="36" t="s">
        <v>1093</v>
      </c>
      <c r="T193" s="38" t="s">
        <v>1094</v>
      </c>
      <c r="U193" s="36" t="str">
        <f t="shared" ref="U193:U195" si="35">IFS(
    P193="No Funding Goal","Not Included",
    P193="Not Applicable","Not Included",
    P193&gt;=0.75,"1. Easy",
    AND(P193&lt;0.75,P193&gt;=0.5),"2. Moderate",
    P193&lt;0.5,"3. Difficult"
)</f>
        <v>1. Easy</v>
      </c>
      <c r="V193" s="38"/>
      <c r="W193" s="38"/>
      <c r="X193" s="48"/>
      <c r="Y193" s="48"/>
      <c r="Z193" s="48"/>
      <c r="AA193" s="48"/>
      <c r="AB193" s="48"/>
      <c r="AC193" s="48"/>
      <c r="AD193" s="48"/>
      <c r="AE193" s="48"/>
      <c r="AF193" s="48"/>
      <c r="AG193" s="48"/>
      <c r="AH193" s="48"/>
      <c r="AI193" s="48"/>
    </row>
    <row r="194" ht="102.0" customHeight="1">
      <c r="A194" s="35" t="s">
        <v>124</v>
      </c>
      <c r="B194" s="35" t="s">
        <v>1269</v>
      </c>
      <c r="C194" s="35" t="s">
        <v>1270</v>
      </c>
      <c r="D194" s="35" t="s">
        <v>1271</v>
      </c>
      <c r="E194" s="75" t="s">
        <v>1546</v>
      </c>
      <c r="F194" s="37"/>
      <c r="G194" s="38" t="s">
        <v>1089</v>
      </c>
      <c r="H194" s="36" t="s">
        <v>1090</v>
      </c>
      <c r="I194" s="36" t="s">
        <v>1547</v>
      </c>
      <c r="J194" s="38"/>
      <c r="K194" s="39"/>
      <c r="L194" s="39">
        <v>2750000.0</v>
      </c>
      <c r="M194" s="56"/>
      <c r="N194" s="56"/>
      <c r="O194" s="39">
        <f t="shared" si="34"/>
        <v>0</v>
      </c>
      <c r="P194" s="36">
        <f>IF(AND((M194+N194)&gt;0,L194=0),"No Funding Goal",IF(AND((M194+N194)=0,L194=0),0,(M194+N194)/L194))</f>
        <v>0</v>
      </c>
      <c r="Q194" s="36"/>
      <c r="R194" s="38" t="s">
        <v>1092</v>
      </c>
      <c r="S194" s="38" t="s">
        <v>1093</v>
      </c>
      <c r="T194" s="38" t="s">
        <v>1094</v>
      </c>
      <c r="U194" s="36" t="str">
        <f t="shared" si="35"/>
        <v>3. Difficult</v>
      </c>
      <c r="V194" s="36"/>
      <c r="W194" s="36"/>
    </row>
    <row r="195" ht="102.0" customHeight="1">
      <c r="A195" s="36" t="s">
        <v>696</v>
      </c>
      <c r="B195" s="35" t="s">
        <v>1548</v>
      </c>
      <c r="C195" s="35" t="s">
        <v>1549</v>
      </c>
      <c r="D195" s="35" t="s">
        <v>1271</v>
      </c>
      <c r="E195" s="36" t="s">
        <v>964</v>
      </c>
      <c r="F195" s="36" t="s">
        <v>963</v>
      </c>
      <c r="G195" s="35" t="s">
        <v>1116</v>
      </c>
      <c r="H195" s="38" t="s">
        <v>162</v>
      </c>
      <c r="I195" s="38" t="s">
        <v>1550</v>
      </c>
      <c r="J195" s="38"/>
      <c r="L195" s="38"/>
      <c r="M195" s="38"/>
      <c r="N195" s="38"/>
      <c r="O195" s="38"/>
      <c r="P195" s="38" t="s">
        <v>1098</v>
      </c>
      <c r="Q195" s="38"/>
      <c r="R195" s="38"/>
      <c r="S195" s="38" t="s">
        <v>1100</v>
      </c>
      <c r="T195" s="38" t="s">
        <v>1112</v>
      </c>
      <c r="U195" s="36" t="str">
        <f t="shared" si="35"/>
        <v>Not Included</v>
      </c>
      <c r="V195" s="38" t="s">
        <v>1551</v>
      </c>
      <c r="W195" s="38" t="s">
        <v>1485</v>
      </c>
    </row>
    <row r="196" ht="102.0" customHeight="1">
      <c r="A196" s="41" t="s">
        <v>696</v>
      </c>
      <c r="B196" s="35" t="s">
        <v>1548</v>
      </c>
      <c r="C196" s="35" t="s">
        <v>1549</v>
      </c>
      <c r="D196" s="35" t="s">
        <v>1271</v>
      </c>
      <c r="E196" s="52" t="s">
        <v>1552</v>
      </c>
      <c r="F196" s="37"/>
      <c r="G196" s="35" t="s">
        <v>1116</v>
      </c>
      <c r="H196" s="37" t="s">
        <v>1139</v>
      </c>
      <c r="I196" s="52" t="s">
        <v>1553</v>
      </c>
      <c r="J196" s="52"/>
      <c r="K196" s="57"/>
      <c r="L196" s="57"/>
      <c r="M196" s="57"/>
      <c r="N196" s="57"/>
      <c r="O196" s="42"/>
      <c r="P196" s="38" t="s">
        <v>1098</v>
      </c>
      <c r="Q196" s="42"/>
      <c r="R196" s="38"/>
      <c r="S196" s="38"/>
      <c r="T196" s="38"/>
      <c r="U196" s="38"/>
      <c r="V196" s="38"/>
      <c r="W196" s="38"/>
      <c r="X196" s="48"/>
      <c r="Y196" s="48"/>
      <c r="Z196" s="48"/>
      <c r="AA196" s="48"/>
      <c r="AB196" s="48"/>
      <c r="AC196" s="48"/>
      <c r="AD196" s="48"/>
      <c r="AE196" s="48"/>
      <c r="AF196" s="48"/>
      <c r="AG196" s="48"/>
      <c r="AH196" s="48"/>
      <c r="AI196" s="48"/>
    </row>
    <row r="197" ht="102.0" customHeight="1">
      <c r="A197" s="36" t="s">
        <v>696</v>
      </c>
      <c r="B197" s="35" t="s">
        <v>1548</v>
      </c>
      <c r="C197" s="35" t="s">
        <v>1549</v>
      </c>
      <c r="D197" s="35" t="s">
        <v>1271</v>
      </c>
      <c r="E197" s="54" t="s">
        <v>1035</v>
      </c>
      <c r="F197" s="37"/>
      <c r="G197" s="37" t="s">
        <v>1116</v>
      </c>
      <c r="H197" s="37" t="s">
        <v>1139</v>
      </c>
      <c r="I197" s="37" t="s">
        <v>1140</v>
      </c>
      <c r="J197" s="38"/>
      <c r="K197" s="38"/>
      <c r="L197" s="38"/>
      <c r="M197" s="38"/>
      <c r="N197" s="38"/>
      <c r="O197" s="38"/>
      <c r="P197" s="38" t="s">
        <v>1098</v>
      </c>
      <c r="Q197" s="38"/>
      <c r="R197" s="37"/>
      <c r="S197" s="38"/>
      <c r="T197" s="38"/>
      <c r="U197" s="38"/>
      <c r="V197" s="37"/>
      <c r="W197" s="37"/>
    </row>
    <row r="198" ht="15.75" customHeight="1">
      <c r="A198" s="41" t="s">
        <v>696</v>
      </c>
      <c r="B198" s="35" t="s">
        <v>1548</v>
      </c>
      <c r="C198" s="35" t="s">
        <v>1549</v>
      </c>
      <c r="D198" s="35" t="s">
        <v>1271</v>
      </c>
      <c r="E198" s="52" t="s">
        <v>1554</v>
      </c>
      <c r="F198" s="37"/>
      <c r="G198" s="37" t="s">
        <v>1116</v>
      </c>
      <c r="H198" s="52" t="s">
        <v>1139</v>
      </c>
      <c r="I198" s="52" t="s">
        <v>1555</v>
      </c>
      <c r="J198" s="38"/>
      <c r="K198" s="57"/>
      <c r="L198" s="57"/>
      <c r="M198" s="57"/>
      <c r="N198" s="57"/>
      <c r="O198" s="42"/>
      <c r="P198" s="38" t="s">
        <v>1098</v>
      </c>
      <c r="Q198" s="42"/>
      <c r="R198" s="38"/>
      <c r="S198" s="38"/>
      <c r="T198" s="38"/>
      <c r="U198" s="38"/>
      <c r="V198" s="38"/>
      <c r="W198" s="38"/>
      <c r="X198" s="48"/>
      <c r="Y198" s="48"/>
      <c r="Z198" s="48"/>
      <c r="AA198" s="48"/>
      <c r="AB198" s="48"/>
      <c r="AC198" s="48"/>
      <c r="AD198" s="48"/>
      <c r="AE198" s="48"/>
      <c r="AF198" s="48"/>
      <c r="AG198" s="48"/>
      <c r="AH198" s="48"/>
      <c r="AI198" s="48"/>
    </row>
    <row r="199" ht="15.75" customHeight="1">
      <c r="A199" s="41" t="s">
        <v>696</v>
      </c>
      <c r="B199" s="35" t="s">
        <v>1548</v>
      </c>
      <c r="C199" s="35" t="s">
        <v>1549</v>
      </c>
      <c r="D199" s="35" t="s">
        <v>1271</v>
      </c>
      <c r="E199" s="52" t="s">
        <v>1556</v>
      </c>
      <c r="F199" s="37"/>
      <c r="G199" s="41" t="s">
        <v>1116</v>
      </c>
      <c r="H199" s="52" t="s">
        <v>1139</v>
      </c>
      <c r="I199" s="52" t="s">
        <v>1060</v>
      </c>
      <c r="J199" s="38"/>
      <c r="K199" s="57"/>
      <c r="L199" s="57"/>
      <c r="M199" s="57"/>
      <c r="N199" s="57"/>
      <c r="O199" s="42"/>
      <c r="P199" s="38" t="s">
        <v>1098</v>
      </c>
      <c r="Q199" s="42"/>
      <c r="R199" s="38"/>
      <c r="S199" s="38"/>
      <c r="T199" s="38"/>
      <c r="U199" s="38"/>
      <c r="V199" s="38"/>
      <c r="W199" s="38"/>
      <c r="X199" s="48"/>
      <c r="Y199" s="48"/>
      <c r="Z199" s="48"/>
      <c r="AA199" s="48"/>
      <c r="AB199" s="48"/>
      <c r="AC199" s="48"/>
      <c r="AD199" s="48"/>
      <c r="AE199" s="48"/>
      <c r="AF199" s="48"/>
      <c r="AG199" s="48"/>
      <c r="AH199" s="48"/>
      <c r="AI199" s="48"/>
    </row>
    <row r="200" ht="15.75" customHeight="1">
      <c r="A200" s="52" t="s">
        <v>696</v>
      </c>
      <c r="B200" s="35" t="s">
        <v>1548</v>
      </c>
      <c r="C200" s="35" t="s">
        <v>1549</v>
      </c>
      <c r="D200" s="35" t="s">
        <v>1271</v>
      </c>
      <c r="E200" s="52" t="s">
        <v>1557</v>
      </c>
      <c r="F200" s="37"/>
      <c r="G200" s="37" t="s">
        <v>1116</v>
      </c>
      <c r="H200" s="38" t="s">
        <v>1139</v>
      </c>
      <c r="I200" s="38" t="s">
        <v>1301</v>
      </c>
      <c r="J200" s="38"/>
      <c r="K200" s="38"/>
      <c r="L200" s="42"/>
      <c r="M200" s="38"/>
      <c r="N200" s="38"/>
      <c r="O200" s="38"/>
      <c r="P200" s="38" t="s">
        <v>1098</v>
      </c>
      <c r="Q200" s="38"/>
      <c r="R200" s="38"/>
      <c r="S200" s="38"/>
      <c r="T200" s="38"/>
      <c r="U200" s="38"/>
      <c r="V200" s="38"/>
      <c r="W200" s="38"/>
    </row>
    <row r="201" ht="15.75" customHeight="1">
      <c r="A201" s="41" t="s">
        <v>696</v>
      </c>
      <c r="B201" s="35" t="s">
        <v>1548</v>
      </c>
      <c r="C201" s="35" t="s">
        <v>1549</v>
      </c>
      <c r="D201" s="35" t="s">
        <v>1271</v>
      </c>
      <c r="E201" s="52" t="s">
        <v>1558</v>
      </c>
      <c r="F201" s="37"/>
      <c r="G201" s="37" t="s">
        <v>1116</v>
      </c>
      <c r="H201" s="38" t="s">
        <v>1139</v>
      </c>
      <c r="I201" s="38" t="s">
        <v>1301</v>
      </c>
      <c r="J201" s="38"/>
      <c r="K201" s="42"/>
      <c r="L201" s="42"/>
      <c r="M201" s="42"/>
      <c r="N201" s="42"/>
      <c r="O201" s="42"/>
      <c r="P201" s="38" t="s">
        <v>1098</v>
      </c>
      <c r="Q201" s="42"/>
      <c r="R201" s="38"/>
      <c r="S201" s="38"/>
      <c r="T201" s="38"/>
      <c r="U201" s="38"/>
      <c r="V201" s="52" t="s">
        <v>1559</v>
      </c>
      <c r="W201" s="38" t="s">
        <v>1465</v>
      </c>
      <c r="X201" s="48"/>
      <c r="Y201" s="48"/>
      <c r="Z201" s="48"/>
      <c r="AA201" s="48"/>
      <c r="AB201" s="48"/>
      <c r="AC201" s="48"/>
      <c r="AD201" s="48"/>
      <c r="AE201" s="48"/>
      <c r="AF201" s="48"/>
      <c r="AG201" s="48"/>
      <c r="AH201" s="48"/>
      <c r="AI201" s="48"/>
    </row>
    <row r="202" ht="15.75" customHeight="1">
      <c r="A202" s="36" t="s">
        <v>696</v>
      </c>
      <c r="B202" s="35" t="s">
        <v>1548</v>
      </c>
      <c r="C202" s="35" t="s">
        <v>1549</v>
      </c>
      <c r="D202" s="35" t="s">
        <v>1271</v>
      </c>
      <c r="E202" s="54" t="s">
        <v>969</v>
      </c>
      <c r="F202" s="37"/>
      <c r="G202" s="37" t="s">
        <v>1116</v>
      </c>
      <c r="H202" s="37" t="s">
        <v>1139</v>
      </c>
      <c r="I202" s="37" t="s">
        <v>1560</v>
      </c>
      <c r="J202" s="38"/>
      <c r="K202" s="38"/>
      <c r="L202" s="38"/>
      <c r="M202" s="38"/>
      <c r="N202" s="38"/>
      <c r="O202" s="38"/>
      <c r="P202" s="38" t="s">
        <v>1098</v>
      </c>
      <c r="Q202" s="38"/>
      <c r="R202" s="37"/>
      <c r="S202" s="36"/>
      <c r="T202" s="36"/>
      <c r="U202" s="38"/>
      <c r="V202" s="37"/>
      <c r="W202" s="37"/>
    </row>
    <row r="203" ht="15.75" customHeight="1">
      <c r="A203" s="36" t="s">
        <v>696</v>
      </c>
      <c r="B203" s="35" t="s">
        <v>1548</v>
      </c>
      <c r="C203" s="35" t="s">
        <v>1549</v>
      </c>
      <c r="D203" s="35" t="s">
        <v>1271</v>
      </c>
      <c r="E203" s="36" t="s">
        <v>952</v>
      </c>
      <c r="F203" s="37"/>
      <c r="G203" s="38" t="s">
        <v>1089</v>
      </c>
      <c r="H203" s="37" t="s">
        <v>1145</v>
      </c>
      <c r="I203" s="37" t="s">
        <v>1462</v>
      </c>
      <c r="J203" s="38"/>
      <c r="K203" s="38"/>
      <c r="L203" s="39">
        <v>2400000.0</v>
      </c>
      <c r="M203" s="39">
        <v>0.0</v>
      </c>
      <c r="N203" s="39">
        <v>0.0</v>
      </c>
      <c r="O203" s="39">
        <f t="shared" ref="O203:O233" si="36">M203+N203</f>
        <v>0</v>
      </c>
      <c r="P203" s="47"/>
      <c r="Q203" s="36"/>
      <c r="R203" s="37" t="s">
        <v>1415</v>
      </c>
      <c r="S203" s="36" t="s">
        <v>1100</v>
      </c>
      <c r="T203" s="38" t="s">
        <v>1112</v>
      </c>
      <c r="U203" s="36" t="str">
        <f t="shared" ref="U203:U204" si="37">IFS(
    Q203="No Funding Goal","Not Included",
    Q203="Not Applicable","Not Included",
    Q203&gt;=0.75,"1. Easy",
    AND(Q203&lt;0.75,Q203&gt;=0.5),"2. Moderate",
    Q203&lt;0.5,"3. Difficult"
)</f>
        <v>3. Difficult</v>
      </c>
      <c r="V203" s="36" t="s">
        <v>1561</v>
      </c>
      <c r="W203" s="36"/>
      <c r="X203" s="68"/>
      <c r="Y203" s="68"/>
      <c r="Z203" s="68"/>
      <c r="AA203" s="68"/>
      <c r="AB203" s="68"/>
      <c r="AC203" s="68"/>
      <c r="AD203" s="68"/>
      <c r="AE203" s="68"/>
      <c r="AF203" s="68"/>
      <c r="AG203" s="68"/>
      <c r="AH203" s="68"/>
    </row>
    <row r="204" ht="15.75" customHeight="1">
      <c r="A204" s="41" t="s">
        <v>696</v>
      </c>
      <c r="B204" s="35" t="s">
        <v>1548</v>
      </c>
      <c r="C204" s="35" t="s">
        <v>1549</v>
      </c>
      <c r="D204" s="35" t="s">
        <v>1271</v>
      </c>
      <c r="E204" s="36" t="s">
        <v>952</v>
      </c>
      <c r="F204" s="37"/>
      <c r="G204" s="38" t="s">
        <v>1089</v>
      </c>
      <c r="H204" s="37" t="s">
        <v>1145</v>
      </c>
      <c r="I204" s="37" t="s">
        <v>1462</v>
      </c>
      <c r="J204" s="38"/>
      <c r="K204" s="38"/>
      <c r="L204" s="39">
        <v>1100000.0</v>
      </c>
      <c r="M204" s="39">
        <v>0.0</v>
      </c>
      <c r="N204" s="39">
        <v>0.0</v>
      </c>
      <c r="O204" s="39">
        <f t="shared" si="36"/>
        <v>0</v>
      </c>
      <c r="P204" s="47"/>
      <c r="Q204" s="36"/>
      <c r="R204" s="37" t="s">
        <v>1415</v>
      </c>
      <c r="S204" s="36" t="s">
        <v>1100</v>
      </c>
      <c r="T204" s="38" t="s">
        <v>1112</v>
      </c>
      <c r="U204" s="36" t="str">
        <f t="shared" si="37"/>
        <v>3. Difficult</v>
      </c>
      <c r="V204" s="36"/>
      <c r="W204" s="36"/>
      <c r="X204" s="68"/>
      <c r="Y204" s="68"/>
      <c r="Z204" s="68"/>
      <c r="AA204" s="68"/>
      <c r="AB204" s="68"/>
      <c r="AC204" s="68"/>
      <c r="AD204" s="68"/>
      <c r="AE204" s="68"/>
      <c r="AF204" s="68"/>
      <c r="AG204" s="68"/>
      <c r="AH204" s="68"/>
    </row>
    <row r="205" ht="15.75" customHeight="1">
      <c r="A205" s="41" t="s">
        <v>696</v>
      </c>
      <c r="B205" s="35" t="s">
        <v>1548</v>
      </c>
      <c r="C205" s="35" t="s">
        <v>1549</v>
      </c>
      <c r="D205" s="35" t="s">
        <v>1271</v>
      </c>
      <c r="E205" s="35" t="s">
        <v>1562</v>
      </c>
      <c r="F205" s="36" t="s">
        <v>1563</v>
      </c>
      <c r="G205" s="38" t="s">
        <v>1089</v>
      </c>
      <c r="H205" s="37" t="s">
        <v>1162</v>
      </c>
      <c r="I205" s="37" t="s">
        <v>1163</v>
      </c>
      <c r="J205" s="38"/>
      <c r="K205" s="39"/>
      <c r="L205" s="39"/>
      <c r="M205" s="39"/>
      <c r="N205" s="39"/>
      <c r="O205" s="39">
        <f t="shared" si="36"/>
        <v>0</v>
      </c>
      <c r="P205" s="38" t="s">
        <v>1098</v>
      </c>
      <c r="Q205" s="36"/>
      <c r="R205" s="38" t="s">
        <v>1564</v>
      </c>
      <c r="S205" s="36" t="s">
        <v>1105</v>
      </c>
      <c r="T205" s="38" t="s">
        <v>1112</v>
      </c>
      <c r="U205" s="36" t="str">
        <f t="shared" ref="U205:U233" si="38">IFS(
    P205="No Funding Goal","Not Included",
    P205="Not Applicable","Not Included",
    P205&gt;=0.75,"1. Easy",
    AND(P205&lt;0.75,P205&gt;=0.5),"2. Moderate",
    P205&lt;0.5,"3. Difficult"
)</f>
        <v>Not Included</v>
      </c>
      <c r="V205" s="76" t="s">
        <v>1565</v>
      </c>
      <c r="W205" s="36" t="s">
        <v>1465</v>
      </c>
    </row>
    <row r="206" ht="15.75" customHeight="1">
      <c r="A206" s="41" t="s">
        <v>696</v>
      </c>
      <c r="B206" s="35" t="s">
        <v>1548</v>
      </c>
      <c r="C206" s="35" t="s">
        <v>1549</v>
      </c>
      <c r="D206" s="35" t="s">
        <v>1271</v>
      </c>
      <c r="E206" s="52" t="s">
        <v>1566</v>
      </c>
      <c r="F206" s="52" t="s">
        <v>1566</v>
      </c>
      <c r="G206" s="36" t="s">
        <v>1089</v>
      </c>
      <c r="H206" s="36" t="s">
        <v>1192</v>
      </c>
      <c r="I206" s="36" t="s">
        <v>1567</v>
      </c>
      <c r="J206" s="36" t="s">
        <v>1279</v>
      </c>
      <c r="K206" s="39"/>
      <c r="L206" s="39"/>
      <c r="M206" s="39"/>
      <c r="N206" s="39"/>
      <c r="O206" s="39">
        <f t="shared" si="36"/>
        <v>0</v>
      </c>
      <c r="P206" s="36" t="s">
        <v>1098</v>
      </c>
      <c r="Q206" s="39"/>
      <c r="R206" s="36" t="s">
        <v>1246</v>
      </c>
      <c r="S206" s="36" t="s">
        <v>1105</v>
      </c>
      <c r="T206" s="38" t="s">
        <v>1094</v>
      </c>
      <c r="U206" s="36" t="str">
        <f t="shared" si="38"/>
        <v>Not Included</v>
      </c>
      <c r="V206" s="36"/>
      <c r="W206" s="36"/>
      <c r="X206" s="48"/>
      <c r="Y206" s="48"/>
      <c r="Z206" s="48"/>
      <c r="AA206" s="48"/>
      <c r="AB206" s="48"/>
      <c r="AC206" s="48"/>
      <c r="AD206" s="48"/>
      <c r="AE206" s="48"/>
      <c r="AF206" s="48"/>
      <c r="AG206" s="48"/>
      <c r="AH206" s="48"/>
      <c r="AI206" s="48"/>
    </row>
    <row r="207" ht="15.75" customHeight="1">
      <c r="A207" s="41" t="s">
        <v>696</v>
      </c>
      <c r="B207" s="35" t="s">
        <v>1548</v>
      </c>
      <c r="C207" s="35" t="s">
        <v>1549</v>
      </c>
      <c r="D207" s="35" t="s">
        <v>1271</v>
      </c>
      <c r="E207" s="52" t="s">
        <v>1568</v>
      </c>
      <c r="F207" s="52" t="s">
        <v>1568</v>
      </c>
      <c r="G207" s="36" t="s">
        <v>1089</v>
      </c>
      <c r="H207" s="52" t="s">
        <v>1192</v>
      </c>
      <c r="I207" s="52" t="s">
        <v>1567</v>
      </c>
      <c r="J207" s="36" t="s">
        <v>1060</v>
      </c>
      <c r="K207" s="39"/>
      <c r="L207" s="39"/>
      <c r="M207" s="39"/>
      <c r="N207" s="39"/>
      <c r="O207" s="39">
        <f t="shared" si="36"/>
        <v>0</v>
      </c>
      <c r="P207" s="36" t="s">
        <v>1098</v>
      </c>
      <c r="Q207" s="39"/>
      <c r="R207" s="36" t="s">
        <v>1311</v>
      </c>
      <c r="S207" s="36" t="s">
        <v>1105</v>
      </c>
      <c r="T207" s="38" t="s">
        <v>1094</v>
      </c>
      <c r="U207" s="36" t="str">
        <f t="shared" si="38"/>
        <v>Not Included</v>
      </c>
      <c r="V207" s="36"/>
      <c r="W207" s="36"/>
      <c r="X207" s="48"/>
      <c r="Y207" s="48"/>
      <c r="Z207" s="48"/>
      <c r="AA207" s="48"/>
      <c r="AB207" s="48"/>
      <c r="AC207" s="48"/>
      <c r="AD207" s="48"/>
      <c r="AE207" s="48"/>
      <c r="AF207" s="48"/>
      <c r="AG207" s="48"/>
      <c r="AH207" s="48"/>
      <c r="AI207" s="48"/>
    </row>
    <row r="208" ht="15.75" customHeight="1">
      <c r="A208" s="41" t="s">
        <v>696</v>
      </c>
      <c r="B208" s="35" t="s">
        <v>1548</v>
      </c>
      <c r="C208" s="35" t="s">
        <v>1549</v>
      </c>
      <c r="D208" s="35" t="s">
        <v>1271</v>
      </c>
      <c r="E208" s="52" t="s">
        <v>1569</v>
      </c>
      <c r="F208" s="52" t="s">
        <v>1569</v>
      </c>
      <c r="G208" s="36" t="s">
        <v>1089</v>
      </c>
      <c r="H208" s="36" t="s">
        <v>1192</v>
      </c>
      <c r="I208" s="36" t="s">
        <v>1279</v>
      </c>
      <c r="J208" s="36"/>
      <c r="K208" s="36"/>
      <c r="L208" s="39"/>
      <c r="M208" s="39"/>
      <c r="N208" s="39"/>
      <c r="O208" s="39">
        <f t="shared" si="36"/>
        <v>0</v>
      </c>
      <c r="P208" s="36" t="s">
        <v>1098</v>
      </c>
      <c r="Q208" s="39"/>
      <c r="R208" s="36" t="s">
        <v>1570</v>
      </c>
      <c r="S208" s="36" t="s">
        <v>1105</v>
      </c>
      <c r="T208" s="38" t="s">
        <v>1094</v>
      </c>
      <c r="U208" s="36" t="str">
        <f t="shared" si="38"/>
        <v>Not Included</v>
      </c>
      <c r="V208" s="52" t="s">
        <v>1571</v>
      </c>
      <c r="W208" s="52"/>
      <c r="AI208" s="50"/>
    </row>
    <row r="209" ht="15.75" customHeight="1">
      <c r="A209" s="41" t="s">
        <v>696</v>
      </c>
      <c r="B209" s="35" t="s">
        <v>1548</v>
      </c>
      <c r="C209" s="35" t="s">
        <v>1549</v>
      </c>
      <c r="D209" s="35" t="s">
        <v>1271</v>
      </c>
      <c r="E209" s="77" t="s">
        <v>1572</v>
      </c>
      <c r="F209" s="52" t="s">
        <v>1573</v>
      </c>
      <c r="G209" s="36" t="s">
        <v>1089</v>
      </c>
      <c r="H209" s="40" t="s">
        <v>1192</v>
      </c>
      <c r="I209" s="40" t="s">
        <v>1516</v>
      </c>
      <c r="J209" s="36" t="s">
        <v>1574</v>
      </c>
      <c r="K209" s="39"/>
      <c r="L209" s="39"/>
      <c r="M209" s="39"/>
      <c r="N209" s="39"/>
      <c r="O209" s="39">
        <f t="shared" si="36"/>
        <v>0</v>
      </c>
      <c r="P209" s="36" t="s">
        <v>1098</v>
      </c>
      <c r="Q209" s="36"/>
      <c r="R209" s="36" t="s">
        <v>1427</v>
      </c>
      <c r="S209" s="36" t="s">
        <v>1105</v>
      </c>
      <c r="T209" s="38" t="s">
        <v>1094</v>
      </c>
      <c r="U209" s="36" t="str">
        <f t="shared" si="38"/>
        <v>Not Included</v>
      </c>
      <c r="V209" s="36" t="s">
        <v>1575</v>
      </c>
      <c r="W209" s="36" t="s">
        <v>1576</v>
      </c>
      <c r="X209" s="48"/>
      <c r="Y209" s="48"/>
      <c r="Z209" s="48"/>
      <c r="AA209" s="48"/>
      <c r="AB209" s="48"/>
      <c r="AC209" s="48"/>
      <c r="AD209" s="48"/>
      <c r="AE209" s="48"/>
      <c r="AF209" s="48"/>
      <c r="AG209" s="48"/>
      <c r="AH209" s="48"/>
      <c r="AI209" s="48"/>
    </row>
    <row r="210" ht="15.75" customHeight="1">
      <c r="A210" s="41" t="s">
        <v>696</v>
      </c>
      <c r="B210" s="35" t="s">
        <v>1548</v>
      </c>
      <c r="C210" s="35" t="s">
        <v>1549</v>
      </c>
      <c r="D210" s="35" t="s">
        <v>1271</v>
      </c>
      <c r="E210" s="77" t="s">
        <v>1577</v>
      </c>
      <c r="F210" s="52" t="s">
        <v>1578</v>
      </c>
      <c r="G210" s="38" t="s">
        <v>1089</v>
      </c>
      <c r="H210" s="38" t="s">
        <v>1117</v>
      </c>
      <c r="I210" s="38" t="s">
        <v>1555</v>
      </c>
      <c r="J210" s="38" t="s">
        <v>26</v>
      </c>
      <c r="K210" s="42"/>
      <c r="L210" s="42"/>
      <c r="M210" s="42"/>
      <c r="N210" s="42"/>
      <c r="O210" s="39">
        <f t="shared" si="36"/>
        <v>0</v>
      </c>
      <c r="P210" s="36" t="s">
        <v>1098</v>
      </c>
      <c r="Q210" s="42"/>
      <c r="R210" s="38" t="s">
        <v>1092</v>
      </c>
      <c r="S210" s="36" t="s">
        <v>1100</v>
      </c>
      <c r="T210" s="36" t="s">
        <v>1112</v>
      </c>
      <c r="U210" s="36" t="str">
        <f t="shared" si="38"/>
        <v>Not Included</v>
      </c>
      <c r="V210" s="52" t="s">
        <v>1579</v>
      </c>
      <c r="W210" s="38" t="s">
        <v>1465</v>
      </c>
      <c r="X210" s="48"/>
      <c r="Y210" s="48"/>
      <c r="Z210" s="48"/>
      <c r="AA210" s="48"/>
      <c r="AB210" s="48"/>
      <c r="AC210" s="48"/>
      <c r="AD210" s="48"/>
      <c r="AE210" s="48"/>
      <c r="AF210" s="48"/>
      <c r="AG210" s="48"/>
      <c r="AH210" s="48"/>
      <c r="AI210" s="48"/>
    </row>
    <row r="211" ht="15.75" customHeight="1">
      <c r="A211" s="36" t="s">
        <v>696</v>
      </c>
      <c r="B211" s="35" t="s">
        <v>1548</v>
      </c>
      <c r="C211" s="35" t="s">
        <v>1549</v>
      </c>
      <c r="D211" s="35" t="s">
        <v>1271</v>
      </c>
      <c r="E211" s="36" t="s">
        <v>1055</v>
      </c>
      <c r="F211" s="36" t="s">
        <v>1054</v>
      </c>
      <c r="G211" s="38" t="s">
        <v>1089</v>
      </c>
      <c r="H211" s="38" t="s">
        <v>1117</v>
      </c>
      <c r="I211" s="38" t="s">
        <v>1398</v>
      </c>
      <c r="J211" s="38" t="s">
        <v>1580</v>
      </c>
      <c r="K211" s="38"/>
      <c r="L211" s="42"/>
      <c r="M211" s="42"/>
      <c r="N211" s="42"/>
      <c r="O211" s="39">
        <f t="shared" si="36"/>
        <v>0</v>
      </c>
      <c r="P211" s="38" t="s">
        <v>1098</v>
      </c>
      <c r="Q211" s="38"/>
      <c r="R211" s="37" t="s">
        <v>1092</v>
      </c>
      <c r="S211" s="38" t="s">
        <v>1105</v>
      </c>
      <c r="T211" s="36" t="s">
        <v>1112</v>
      </c>
      <c r="U211" s="36" t="str">
        <f t="shared" si="38"/>
        <v>Not Included</v>
      </c>
      <c r="V211" s="37"/>
      <c r="W211" s="37"/>
    </row>
    <row r="212" ht="15.75" customHeight="1">
      <c r="A212" s="41" t="s">
        <v>696</v>
      </c>
      <c r="B212" s="35" t="s">
        <v>1548</v>
      </c>
      <c r="C212" s="35" t="s">
        <v>1549</v>
      </c>
      <c r="D212" s="35" t="s">
        <v>1271</v>
      </c>
      <c r="E212" s="52" t="s">
        <v>1581</v>
      </c>
      <c r="F212" s="52" t="s">
        <v>1581</v>
      </c>
      <c r="G212" s="38" t="s">
        <v>1089</v>
      </c>
      <c r="H212" s="38" t="s">
        <v>1117</v>
      </c>
      <c r="I212" s="38" t="s">
        <v>26</v>
      </c>
      <c r="J212" s="38" t="s">
        <v>1582</v>
      </c>
      <c r="K212" s="42"/>
      <c r="L212" s="42"/>
      <c r="M212" s="42"/>
      <c r="N212" s="42"/>
      <c r="O212" s="39">
        <f t="shared" si="36"/>
        <v>0</v>
      </c>
      <c r="P212" s="36" t="s">
        <v>1098</v>
      </c>
      <c r="Q212" s="42"/>
      <c r="R212" s="38" t="s">
        <v>1583</v>
      </c>
      <c r="S212" s="36" t="s">
        <v>1105</v>
      </c>
      <c r="T212" s="36" t="s">
        <v>1112</v>
      </c>
      <c r="U212" s="36" t="str">
        <f t="shared" si="38"/>
        <v>Not Included</v>
      </c>
      <c r="V212" s="38"/>
      <c r="W212" s="38"/>
      <c r="X212" s="48"/>
      <c r="Y212" s="48"/>
      <c r="Z212" s="48"/>
      <c r="AA212" s="48"/>
      <c r="AB212" s="48"/>
      <c r="AC212" s="48"/>
      <c r="AD212" s="48"/>
      <c r="AE212" s="48"/>
      <c r="AF212" s="48"/>
      <c r="AG212" s="48"/>
      <c r="AH212" s="48"/>
      <c r="AI212" s="48"/>
    </row>
    <row r="213" ht="50.25" customHeight="1">
      <c r="A213" s="41" t="s">
        <v>696</v>
      </c>
      <c r="B213" s="35" t="s">
        <v>1548</v>
      </c>
      <c r="C213" s="35" t="s">
        <v>1549</v>
      </c>
      <c r="D213" s="35" t="s">
        <v>1271</v>
      </c>
      <c r="E213" s="52" t="s">
        <v>1584</v>
      </c>
      <c r="F213" s="52" t="s">
        <v>1584</v>
      </c>
      <c r="G213" s="38" t="s">
        <v>1089</v>
      </c>
      <c r="H213" s="38" t="s">
        <v>1117</v>
      </c>
      <c r="I213" s="38" t="s">
        <v>1585</v>
      </c>
      <c r="J213" s="38" t="s">
        <v>646</v>
      </c>
      <c r="K213" s="42"/>
      <c r="L213" s="42"/>
      <c r="M213" s="42"/>
      <c r="N213" s="42"/>
      <c r="O213" s="39">
        <f t="shared" si="36"/>
        <v>0</v>
      </c>
      <c r="P213" s="36" t="s">
        <v>1098</v>
      </c>
      <c r="Q213" s="42"/>
      <c r="R213" s="38" t="s">
        <v>1092</v>
      </c>
      <c r="S213" s="36" t="s">
        <v>1105</v>
      </c>
      <c r="T213" s="36" t="s">
        <v>1112</v>
      </c>
      <c r="U213" s="36" t="str">
        <f t="shared" si="38"/>
        <v>Not Included</v>
      </c>
      <c r="V213" s="38"/>
      <c r="W213" s="38"/>
      <c r="X213" s="48"/>
      <c r="Y213" s="48"/>
      <c r="Z213" s="48"/>
      <c r="AA213" s="48"/>
      <c r="AB213" s="48"/>
      <c r="AC213" s="48"/>
      <c r="AD213" s="48"/>
      <c r="AE213" s="48"/>
      <c r="AF213" s="48"/>
      <c r="AG213" s="48"/>
      <c r="AH213" s="48"/>
      <c r="AI213" s="48"/>
    </row>
    <row r="214" ht="15.75" customHeight="1">
      <c r="A214" s="41" t="s">
        <v>696</v>
      </c>
      <c r="B214" s="35" t="s">
        <v>1548</v>
      </c>
      <c r="C214" s="35" t="s">
        <v>1549</v>
      </c>
      <c r="D214" s="35" t="s">
        <v>1271</v>
      </c>
      <c r="E214" s="52" t="s">
        <v>1586</v>
      </c>
      <c r="F214" s="52" t="s">
        <v>1586</v>
      </c>
      <c r="G214" s="38" t="s">
        <v>1089</v>
      </c>
      <c r="H214" s="38" t="s">
        <v>1117</v>
      </c>
      <c r="I214" s="38" t="s">
        <v>1585</v>
      </c>
      <c r="J214" s="52" t="s">
        <v>1555</v>
      </c>
      <c r="K214" s="42"/>
      <c r="L214" s="42"/>
      <c r="M214" s="42"/>
      <c r="N214" s="42"/>
      <c r="O214" s="39">
        <f t="shared" si="36"/>
        <v>0</v>
      </c>
      <c r="P214" s="36" t="s">
        <v>1098</v>
      </c>
      <c r="Q214" s="42"/>
      <c r="R214" s="38" t="s">
        <v>1587</v>
      </c>
      <c r="S214" s="36" t="s">
        <v>1105</v>
      </c>
      <c r="T214" s="36" t="s">
        <v>1112</v>
      </c>
      <c r="U214" s="36" t="str">
        <f t="shared" si="38"/>
        <v>Not Included</v>
      </c>
      <c r="V214" s="52"/>
      <c r="W214" s="38"/>
      <c r="X214" s="48"/>
      <c r="Y214" s="48"/>
      <c r="Z214" s="48"/>
      <c r="AA214" s="48"/>
      <c r="AB214" s="48"/>
      <c r="AC214" s="48"/>
      <c r="AD214" s="48"/>
      <c r="AE214" s="48"/>
      <c r="AF214" s="48"/>
      <c r="AG214" s="48"/>
      <c r="AH214" s="48"/>
      <c r="AI214" s="48"/>
    </row>
    <row r="215" ht="15.75" customHeight="1">
      <c r="A215" s="41" t="s">
        <v>696</v>
      </c>
      <c r="B215" s="35" t="s">
        <v>1548</v>
      </c>
      <c r="C215" s="35" t="s">
        <v>1549</v>
      </c>
      <c r="D215" s="35" t="s">
        <v>1271</v>
      </c>
      <c r="E215" s="52" t="s">
        <v>1588</v>
      </c>
      <c r="F215" s="52" t="s">
        <v>1588</v>
      </c>
      <c r="G215" s="38" t="s">
        <v>1089</v>
      </c>
      <c r="H215" s="38" t="s">
        <v>1117</v>
      </c>
      <c r="I215" s="38" t="s">
        <v>1585</v>
      </c>
      <c r="J215" s="38" t="s">
        <v>1214</v>
      </c>
      <c r="K215" s="57"/>
      <c r="L215" s="42"/>
      <c r="M215" s="42"/>
      <c r="N215" s="42"/>
      <c r="O215" s="39">
        <f t="shared" si="36"/>
        <v>0</v>
      </c>
      <c r="P215" s="36" t="s">
        <v>1098</v>
      </c>
      <c r="Q215" s="42"/>
      <c r="R215" s="38" t="s">
        <v>1587</v>
      </c>
      <c r="S215" s="36" t="s">
        <v>1105</v>
      </c>
      <c r="T215" s="36" t="s">
        <v>1112</v>
      </c>
      <c r="U215" s="36" t="str">
        <f t="shared" si="38"/>
        <v>Not Included</v>
      </c>
      <c r="V215" s="38"/>
      <c r="W215" s="38"/>
      <c r="X215" s="48"/>
      <c r="Y215" s="48"/>
      <c r="Z215" s="48"/>
      <c r="AA215" s="48"/>
      <c r="AB215" s="48"/>
      <c r="AC215" s="48"/>
      <c r="AD215" s="48"/>
      <c r="AE215" s="48"/>
      <c r="AF215" s="48"/>
      <c r="AG215" s="48"/>
      <c r="AH215" s="48"/>
      <c r="AI215" s="48"/>
    </row>
    <row r="216" ht="15.75" customHeight="1">
      <c r="A216" s="41" t="s">
        <v>696</v>
      </c>
      <c r="B216" s="35" t="s">
        <v>1548</v>
      </c>
      <c r="C216" s="35" t="s">
        <v>1549</v>
      </c>
      <c r="D216" s="35" t="s">
        <v>1271</v>
      </c>
      <c r="E216" s="52" t="s">
        <v>1589</v>
      </c>
      <c r="F216" s="52" t="s">
        <v>1589</v>
      </c>
      <c r="G216" s="38" t="s">
        <v>1089</v>
      </c>
      <c r="H216" s="38" t="s">
        <v>1117</v>
      </c>
      <c r="I216" s="38" t="s">
        <v>1590</v>
      </c>
      <c r="J216" s="38" t="s">
        <v>26</v>
      </c>
      <c r="K216" s="42"/>
      <c r="L216" s="42"/>
      <c r="M216" s="42"/>
      <c r="N216" s="42"/>
      <c r="O216" s="39">
        <f t="shared" si="36"/>
        <v>0</v>
      </c>
      <c r="P216" s="36" t="s">
        <v>1098</v>
      </c>
      <c r="Q216" s="42"/>
      <c r="R216" s="38" t="s">
        <v>1591</v>
      </c>
      <c r="S216" s="36" t="s">
        <v>1105</v>
      </c>
      <c r="T216" s="36" t="s">
        <v>1112</v>
      </c>
      <c r="U216" s="36" t="str">
        <f t="shared" si="38"/>
        <v>Not Included</v>
      </c>
      <c r="V216" s="38"/>
      <c r="W216" s="38"/>
      <c r="X216" s="48"/>
      <c r="Y216" s="48"/>
      <c r="Z216" s="48"/>
      <c r="AA216" s="48"/>
      <c r="AB216" s="48"/>
      <c r="AC216" s="48"/>
      <c r="AD216" s="48"/>
      <c r="AE216" s="48"/>
      <c r="AF216" s="48"/>
      <c r="AG216" s="48"/>
      <c r="AH216" s="48"/>
      <c r="AI216" s="48"/>
    </row>
    <row r="217" ht="15.75" customHeight="1">
      <c r="A217" s="41" t="s">
        <v>696</v>
      </c>
      <c r="B217" s="35" t="s">
        <v>1548</v>
      </c>
      <c r="C217" s="35" t="s">
        <v>1549</v>
      </c>
      <c r="D217" s="35" t="s">
        <v>1271</v>
      </c>
      <c r="E217" s="52" t="s">
        <v>1592</v>
      </c>
      <c r="F217" s="52" t="s">
        <v>1592</v>
      </c>
      <c r="G217" s="38" t="s">
        <v>1089</v>
      </c>
      <c r="H217" s="38" t="s">
        <v>1117</v>
      </c>
      <c r="I217" s="38" t="s">
        <v>646</v>
      </c>
      <c r="J217" s="38" t="s">
        <v>1593</v>
      </c>
      <c r="K217" s="42"/>
      <c r="L217" s="42"/>
      <c r="M217" s="42"/>
      <c r="N217" s="42"/>
      <c r="O217" s="39">
        <f t="shared" si="36"/>
        <v>0</v>
      </c>
      <c r="P217" s="36" t="s">
        <v>1098</v>
      </c>
      <c r="Q217" s="42"/>
      <c r="R217" s="38" t="s">
        <v>1092</v>
      </c>
      <c r="S217" s="36" t="s">
        <v>1105</v>
      </c>
      <c r="T217" s="36" t="s">
        <v>1112</v>
      </c>
      <c r="U217" s="36" t="str">
        <f t="shared" si="38"/>
        <v>Not Included</v>
      </c>
      <c r="V217" s="38"/>
      <c r="W217" s="38"/>
      <c r="X217" s="48"/>
      <c r="Y217" s="48"/>
      <c r="Z217" s="48"/>
      <c r="AA217" s="48"/>
      <c r="AB217" s="48"/>
      <c r="AC217" s="48"/>
      <c r="AD217" s="48"/>
      <c r="AE217" s="48"/>
      <c r="AF217" s="48"/>
      <c r="AG217" s="48"/>
      <c r="AH217" s="48"/>
      <c r="AI217" s="48"/>
    </row>
    <row r="218" ht="15.75" customHeight="1">
      <c r="A218" s="41" t="s">
        <v>696</v>
      </c>
      <c r="B218" s="35" t="s">
        <v>1548</v>
      </c>
      <c r="C218" s="35" t="s">
        <v>1549</v>
      </c>
      <c r="D218" s="35" t="s">
        <v>1271</v>
      </c>
      <c r="E218" s="52" t="s">
        <v>1594</v>
      </c>
      <c r="F218" s="52" t="s">
        <v>1594</v>
      </c>
      <c r="G218" s="38" t="s">
        <v>1089</v>
      </c>
      <c r="H218" s="38" t="s">
        <v>1117</v>
      </c>
      <c r="I218" s="38" t="s">
        <v>646</v>
      </c>
      <c r="J218" s="42" t="s">
        <v>1226</v>
      </c>
      <c r="K218" s="38"/>
      <c r="L218" s="42"/>
      <c r="M218" s="42"/>
      <c r="N218" s="42"/>
      <c r="O218" s="39">
        <f t="shared" si="36"/>
        <v>0</v>
      </c>
      <c r="P218" s="36" t="s">
        <v>1098</v>
      </c>
      <c r="Q218" s="42"/>
      <c r="R218" s="38" t="s">
        <v>1587</v>
      </c>
      <c r="S218" s="36" t="s">
        <v>1105</v>
      </c>
      <c r="T218" s="36" t="s">
        <v>1112</v>
      </c>
      <c r="U218" s="36" t="str">
        <f t="shared" si="38"/>
        <v>Not Included</v>
      </c>
      <c r="V218" s="52" t="s">
        <v>1595</v>
      </c>
      <c r="W218" s="38" t="s">
        <v>1465</v>
      </c>
      <c r="X218" s="48"/>
      <c r="Y218" s="48"/>
      <c r="Z218" s="48"/>
      <c r="AA218" s="48"/>
      <c r="AB218" s="48"/>
      <c r="AC218" s="48"/>
      <c r="AD218" s="48"/>
      <c r="AE218" s="48"/>
      <c r="AF218" s="48"/>
      <c r="AG218" s="48"/>
      <c r="AH218" s="48"/>
      <c r="AI218" s="48"/>
    </row>
    <row r="219" ht="15.75" customHeight="1">
      <c r="A219" s="41" t="s">
        <v>696</v>
      </c>
      <c r="B219" s="35" t="s">
        <v>1548</v>
      </c>
      <c r="C219" s="35" t="s">
        <v>1549</v>
      </c>
      <c r="D219" s="35" t="s">
        <v>1271</v>
      </c>
      <c r="E219" s="52" t="s">
        <v>1596</v>
      </c>
      <c r="F219" s="52" t="s">
        <v>1597</v>
      </c>
      <c r="G219" s="38" t="s">
        <v>1089</v>
      </c>
      <c r="H219" s="38" t="s">
        <v>1117</v>
      </c>
      <c r="I219" s="38" t="s">
        <v>1555</v>
      </c>
      <c r="J219" s="38" t="s">
        <v>646</v>
      </c>
      <c r="K219" s="42"/>
      <c r="L219" s="42"/>
      <c r="M219" s="42"/>
      <c r="N219" s="42"/>
      <c r="O219" s="39">
        <f t="shared" si="36"/>
        <v>0</v>
      </c>
      <c r="P219" s="36" t="s">
        <v>1098</v>
      </c>
      <c r="Q219" s="42"/>
      <c r="R219" s="38" t="s">
        <v>1587</v>
      </c>
      <c r="S219" s="36" t="s">
        <v>1105</v>
      </c>
      <c r="T219" s="36" t="s">
        <v>1112</v>
      </c>
      <c r="U219" s="36" t="str">
        <f t="shared" si="38"/>
        <v>Not Included</v>
      </c>
      <c r="V219" s="52" t="s">
        <v>1598</v>
      </c>
      <c r="W219" s="38" t="s">
        <v>1465</v>
      </c>
      <c r="X219" s="48"/>
      <c r="Y219" s="48"/>
      <c r="Z219" s="48"/>
      <c r="AA219" s="48"/>
      <c r="AB219" s="48"/>
      <c r="AC219" s="48"/>
      <c r="AD219" s="48"/>
      <c r="AE219" s="48"/>
      <c r="AF219" s="48"/>
      <c r="AG219" s="48"/>
      <c r="AH219" s="48"/>
      <c r="AI219" s="48"/>
    </row>
    <row r="220" ht="95.25" customHeight="1">
      <c r="A220" s="41" t="s">
        <v>696</v>
      </c>
      <c r="B220" s="35" t="s">
        <v>1548</v>
      </c>
      <c r="C220" s="35" t="s">
        <v>1549</v>
      </c>
      <c r="D220" s="35" t="s">
        <v>1271</v>
      </c>
      <c r="E220" s="52" t="s">
        <v>1599</v>
      </c>
      <c r="F220" s="52" t="s">
        <v>1600</v>
      </c>
      <c r="G220" s="38" t="s">
        <v>1089</v>
      </c>
      <c r="H220" s="38" t="s">
        <v>1117</v>
      </c>
      <c r="I220" s="38" t="s">
        <v>1555</v>
      </c>
      <c r="J220" s="38" t="s">
        <v>26</v>
      </c>
      <c r="K220" s="42"/>
      <c r="L220" s="42"/>
      <c r="M220" s="42"/>
      <c r="N220" s="42"/>
      <c r="O220" s="39">
        <f t="shared" si="36"/>
        <v>0</v>
      </c>
      <c r="P220" s="36" t="s">
        <v>1098</v>
      </c>
      <c r="Q220" s="42"/>
      <c r="R220" s="38" t="s">
        <v>1601</v>
      </c>
      <c r="S220" s="36" t="s">
        <v>1105</v>
      </c>
      <c r="T220" s="36" t="s">
        <v>1112</v>
      </c>
      <c r="U220" s="36" t="str">
        <f t="shared" si="38"/>
        <v>Not Included</v>
      </c>
      <c r="V220" s="52" t="s">
        <v>1602</v>
      </c>
      <c r="W220" s="38" t="s">
        <v>1465</v>
      </c>
      <c r="X220" s="48"/>
      <c r="Y220" s="48"/>
      <c r="Z220" s="48"/>
      <c r="AA220" s="48"/>
      <c r="AB220" s="48"/>
      <c r="AC220" s="48"/>
      <c r="AD220" s="48"/>
      <c r="AE220" s="48"/>
      <c r="AF220" s="48"/>
      <c r="AG220" s="48"/>
      <c r="AH220" s="48"/>
      <c r="AI220" s="48"/>
    </row>
    <row r="221" ht="15.75" customHeight="1">
      <c r="A221" s="36" t="s">
        <v>696</v>
      </c>
      <c r="B221" s="35" t="s">
        <v>1548</v>
      </c>
      <c r="C221" s="35" t="s">
        <v>1549</v>
      </c>
      <c r="D221" s="35" t="s">
        <v>1271</v>
      </c>
      <c r="E221" s="36" t="s">
        <v>979</v>
      </c>
      <c r="F221" s="36" t="s">
        <v>979</v>
      </c>
      <c r="G221" s="36" t="str">
        <f>IF(J221&lt;&gt;"CARB", "yes", "CARB")</f>
        <v>yes</v>
      </c>
      <c r="H221" s="38" t="s">
        <v>162</v>
      </c>
      <c r="I221" s="38" t="s">
        <v>1550</v>
      </c>
      <c r="J221" s="38"/>
      <c r="K221" s="38"/>
      <c r="L221" s="42"/>
      <c r="M221" s="42"/>
      <c r="N221" s="42"/>
      <c r="O221" s="39">
        <f t="shared" si="36"/>
        <v>0</v>
      </c>
      <c r="P221" s="38" t="s">
        <v>1098</v>
      </c>
      <c r="Q221" s="38"/>
      <c r="R221" s="38" t="s">
        <v>1092</v>
      </c>
      <c r="S221" s="38" t="s">
        <v>1100</v>
      </c>
      <c r="T221" s="38" t="s">
        <v>1112</v>
      </c>
      <c r="U221" s="36" t="str">
        <f t="shared" si="38"/>
        <v>Not Included</v>
      </c>
      <c r="V221" s="38" t="s">
        <v>1603</v>
      </c>
      <c r="W221" s="38" t="s">
        <v>1485</v>
      </c>
    </row>
    <row r="222" ht="15.75" customHeight="1">
      <c r="A222" s="41" t="s">
        <v>696</v>
      </c>
      <c r="B222" s="35" t="s">
        <v>1548</v>
      </c>
      <c r="C222" s="35" t="s">
        <v>1549</v>
      </c>
      <c r="D222" s="35" t="s">
        <v>1271</v>
      </c>
      <c r="E222" s="36" t="s">
        <v>1604</v>
      </c>
      <c r="F222" s="37"/>
      <c r="G222" s="38" t="s">
        <v>1089</v>
      </c>
      <c r="H222" s="38" t="s">
        <v>153</v>
      </c>
      <c r="I222" s="38" t="s">
        <v>1241</v>
      </c>
      <c r="J222" s="38" t="s">
        <v>1244</v>
      </c>
      <c r="K222" s="57"/>
      <c r="L222" s="42"/>
      <c r="M222" s="42"/>
      <c r="N222" s="42">
        <v>1243280.0</v>
      </c>
      <c r="O222" s="39">
        <f t="shared" si="36"/>
        <v>1243280</v>
      </c>
      <c r="P222" s="36">
        <v>1.0</v>
      </c>
      <c r="Q222" s="36"/>
      <c r="R222" s="38" t="s">
        <v>1605</v>
      </c>
      <c r="S222" s="38" t="s">
        <v>1093</v>
      </c>
      <c r="T222" s="38" t="s">
        <v>1094</v>
      </c>
      <c r="U222" s="36" t="str">
        <f t="shared" si="38"/>
        <v>1. Easy</v>
      </c>
      <c r="V222" s="38"/>
      <c r="W222" s="38"/>
      <c r="X222" s="50"/>
      <c r="Y222" s="50"/>
      <c r="Z222" s="50"/>
      <c r="AA222" s="50"/>
      <c r="AB222" s="50"/>
      <c r="AC222" s="50"/>
      <c r="AD222" s="50"/>
      <c r="AE222" s="50"/>
      <c r="AF222" s="50"/>
      <c r="AG222" s="50"/>
      <c r="AH222" s="50"/>
    </row>
    <row r="223" ht="15.75" customHeight="1">
      <c r="A223" s="41" t="s">
        <v>696</v>
      </c>
      <c r="B223" s="35" t="s">
        <v>1548</v>
      </c>
      <c r="C223" s="35" t="s">
        <v>1549</v>
      </c>
      <c r="D223" s="35" t="s">
        <v>1271</v>
      </c>
      <c r="E223" s="36" t="s">
        <v>1606</v>
      </c>
      <c r="F223" s="37"/>
      <c r="G223" s="38" t="s">
        <v>1089</v>
      </c>
      <c r="H223" s="38" t="s">
        <v>153</v>
      </c>
      <c r="I223" s="38" t="s">
        <v>1174</v>
      </c>
      <c r="J223" s="38" t="s">
        <v>1607</v>
      </c>
      <c r="K223" s="57"/>
      <c r="L223" s="42"/>
      <c r="M223" s="42">
        <v>2.0037472E7</v>
      </c>
      <c r="N223" s="42"/>
      <c r="O223" s="39">
        <f t="shared" si="36"/>
        <v>20037472</v>
      </c>
      <c r="P223" s="36">
        <v>1.0</v>
      </c>
      <c r="Q223" s="36"/>
      <c r="R223" s="38" t="s">
        <v>1246</v>
      </c>
      <c r="S223" s="38" t="s">
        <v>1093</v>
      </c>
      <c r="T223" s="38" t="s">
        <v>1094</v>
      </c>
      <c r="U223" s="36" t="str">
        <f t="shared" si="38"/>
        <v>1. Easy</v>
      </c>
      <c r="V223" s="38" t="s">
        <v>1608</v>
      </c>
      <c r="W223" s="38"/>
      <c r="X223" s="50"/>
      <c r="Y223" s="50"/>
      <c r="Z223" s="50"/>
      <c r="AA223" s="50"/>
      <c r="AB223" s="50"/>
      <c r="AC223" s="50"/>
      <c r="AD223" s="50"/>
      <c r="AE223" s="50"/>
      <c r="AF223" s="50"/>
      <c r="AG223" s="50"/>
      <c r="AH223" s="50"/>
    </row>
    <row r="224" ht="15.75" customHeight="1">
      <c r="A224" s="35" t="s">
        <v>396</v>
      </c>
      <c r="B224" s="36" t="s">
        <v>1509</v>
      </c>
      <c r="C224" s="35" t="s">
        <v>1510</v>
      </c>
      <c r="D224" s="35" t="s">
        <v>1256</v>
      </c>
      <c r="E224" s="38" t="s">
        <v>1609</v>
      </c>
      <c r="F224" s="37"/>
      <c r="G224" s="38" t="s">
        <v>1089</v>
      </c>
      <c r="H224" s="38" t="s">
        <v>1257</v>
      </c>
      <c r="I224" s="38" t="s">
        <v>1258</v>
      </c>
      <c r="J224" s="38" t="s">
        <v>1610</v>
      </c>
      <c r="K224" s="38"/>
      <c r="L224" s="39">
        <v>1000000.0</v>
      </c>
      <c r="M224" s="39">
        <v>1000000.0</v>
      </c>
      <c r="N224" s="39">
        <v>0.0</v>
      </c>
      <c r="O224" s="39">
        <f t="shared" si="36"/>
        <v>1000000</v>
      </c>
      <c r="P224" s="36">
        <f>IF(AND((M224+N224)&gt;0,L224=0),"1",IF(AND((M224+N224)=0,L224=0),0,(M224+N224)/L224))</f>
        <v>1</v>
      </c>
      <c r="Q224" s="36"/>
      <c r="R224" s="36" t="s">
        <v>1092</v>
      </c>
      <c r="S224" s="36" t="s">
        <v>1105</v>
      </c>
      <c r="T224" s="36" t="s">
        <v>1112</v>
      </c>
      <c r="U224" s="36" t="str">
        <f t="shared" si="38"/>
        <v>1. Easy</v>
      </c>
      <c r="V224" s="36" t="s">
        <v>1611</v>
      </c>
      <c r="W224" s="38" t="s">
        <v>1612</v>
      </c>
      <c r="X224" s="40"/>
      <c r="Y224" s="40"/>
      <c r="Z224" s="40"/>
      <c r="AA224" s="40"/>
      <c r="AB224" s="40"/>
      <c r="AC224" s="40"/>
      <c r="AD224" s="40"/>
      <c r="AE224" s="40"/>
      <c r="AF224" s="40"/>
      <c r="AG224" s="40"/>
      <c r="AH224" s="40"/>
      <c r="AI224" s="45"/>
    </row>
    <row r="225" ht="15.75" customHeight="1">
      <c r="A225" s="41" t="s">
        <v>696</v>
      </c>
      <c r="B225" s="35" t="s">
        <v>1548</v>
      </c>
      <c r="C225" s="35" t="s">
        <v>1549</v>
      </c>
      <c r="D225" s="35" t="s">
        <v>1271</v>
      </c>
      <c r="E225" s="36" t="s">
        <v>998</v>
      </c>
      <c r="F225" s="37"/>
      <c r="G225" s="38" t="s">
        <v>1089</v>
      </c>
      <c r="H225" s="36" t="s">
        <v>1090</v>
      </c>
      <c r="I225" s="36" t="s">
        <v>1613</v>
      </c>
      <c r="J225" s="38"/>
      <c r="K225" s="39">
        <v>2.3E7</v>
      </c>
      <c r="L225" s="39"/>
      <c r="M225" s="56"/>
      <c r="N225" s="56">
        <v>3417085.6</v>
      </c>
      <c r="O225" s="39">
        <f t="shared" si="36"/>
        <v>3417085.6</v>
      </c>
      <c r="P225" s="36">
        <v>1.0</v>
      </c>
      <c r="Q225" s="36"/>
      <c r="R225" s="36" t="s">
        <v>1605</v>
      </c>
      <c r="S225" s="36" t="s">
        <v>1093</v>
      </c>
      <c r="T225" s="38" t="s">
        <v>1094</v>
      </c>
      <c r="U225" s="36" t="str">
        <f t="shared" si="38"/>
        <v>1. Easy</v>
      </c>
      <c r="V225" s="36" t="s">
        <v>1614</v>
      </c>
      <c r="W225" s="36" t="s">
        <v>1615</v>
      </c>
    </row>
    <row r="226" ht="15.75" customHeight="1">
      <c r="A226" s="41" t="s">
        <v>696</v>
      </c>
      <c r="B226" s="35" t="s">
        <v>1548</v>
      </c>
      <c r="C226" s="35" t="s">
        <v>1549</v>
      </c>
      <c r="D226" s="35" t="s">
        <v>1271</v>
      </c>
      <c r="E226" s="75" t="s">
        <v>1546</v>
      </c>
      <c r="F226" s="37"/>
      <c r="G226" s="38" t="s">
        <v>1089</v>
      </c>
      <c r="H226" s="36" t="s">
        <v>1090</v>
      </c>
      <c r="I226" s="36" t="s">
        <v>1547</v>
      </c>
      <c r="J226" s="38"/>
      <c r="K226" s="39"/>
      <c r="L226" s="39">
        <v>1840000.0</v>
      </c>
      <c r="M226" s="56"/>
      <c r="N226" s="56"/>
      <c r="O226" s="39">
        <f t="shared" si="36"/>
        <v>0</v>
      </c>
      <c r="P226" s="36">
        <f>IF(AND((M226+N226)&gt;0,L226=0),"No Funding Goal",IF(AND((M226+N226)=0,L226=0),0,(M226+N226)/L226))</f>
        <v>0</v>
      </c>
      <c r="Q226" s="36"/>
      <c r="R226" s="36" t="s">
        <v>1092</v>
      </c>
      <c r="S226" s="38" t="s">
        <v>1093</v>
      </c>
      <c r="T226" s="38" t="s">
        <v>1094</v>
      </c>
      <c r="U226" s="36" t="str">
        <f t="shared" si="38"/>
        <v>3. Difficult</v>
      </c>
      <c r="V226" s="36"/>
      <c r="W226" s="36"/>
    </row>
    <row r="227" ht="15.75" customHeight="1">
      <c r="A227" s="41" t="s">
        <v>696</v>
      </c>
      <c r="B227" s="35" t="s">
        <v>1548</v>
      </c>
      <c r="C227" s="35" t="s">
        <v>1549</v>
      </c>
      <c r="D227" s="35" t="s">
        <v>1271</v>
      </c>
      <c r="E227" s="38" t="s">
        <v>1616</v>
      </c>
      <c r="F227" s="37"/>
      <c r="G227" s="38" t="s">
        <v>1089</v>
      </c>
      <c r="H227" s="52" t="s">
        <v>1314</v>
      </c>
      <c r="I227" s="52" t="s">
        <v>1617</v>
      </c>
      <c r="J227" s="38"/>
      <c r="K227" s="42"/>
      <c r="L227" s="42"/>
      <c r="M227" s="42"/>
      <c r="N227" s="42">
        <f>800000</f>
        <v>800000</v>
      </c>
      <c r="O227" s="39">
        <f t="shared" si="36"/>
        <v>800000</v>
      </c>
      <c r="P227" s="36">
        <v>1.0</v>
      </c>
      <c r="Q227" s="36"/>
      <c r="R227" s="36" t="s">
        <v>1092</v>
      </c>
      <c r="S227" s="36" t="s">
        <v>1105</v>
      </c>
      <c r="T227" s="36" t="s">
        <v>1112</v>
      </c>
      <c r="U227" s="36" t="str">
        <f t="shared" si="38"/>
        <v>1. Easy</v>
      </c>
      <c r="V227" s="37"/>
      <c r="W227" s="38" t="s">
        <v>1268</v>
      </c>
      <c r="X227" s="48"/>
      <c r="Y227" s="48"/>
      <c r="Z227" s="48"/>
      <c r="AA227" s="48"/>
      <c r="AB227" s="48"/>
      <c r="AC227" s="48"/>
      <c r="AD227" s="48"/>
      <c r="AE227" s="48"/>
      <c r="AF227" s="48"/>
      <c r="AG227" s="48"/>
      <c r="AH227" s="48"/>
      <c r="AI227" s="48"/>
    </row>
    <row r="228" ht="15.75" customHeight="1">
      <c r="A228" s="41" t="s">
        <v>696</v>
      </c>
      <c r="B228" s="35" t="s">
        <v>1548</v>
      </c>
      <c r="C228" s="35" t="s">
        <v>1549</v>
      </c>
      <c r="D228" s="35" t="s">
        <v>1271</v>
      </c>
      <c r="E228" s="77" t="s">
        <v>1618</v>
      </c>
      <c r="F228" s="52" t="s">
        <v>1521</v>
      </c>
      <c r="G228" s="38" t="s">
        <v>1089</v>
      </c>
      <c r="H228" s="38" t="s">
        <v>1097</v>
      </c>
      <c r="I228" s="38" t="s">
        <v>1329</v>
      </c>
      <c r="J228" s="38"/>
      <c r="K228" s="42"/>
      <c r="L228" s="42"/>
      <c r="M228" s="42"/>
      <c r="N228" s="42"/>
      <c r="O228" s="39">
        <f t="shared" si="36"/>
        <v>0</v>
      </c>
      <c r="P228" s="36" t="s">
        <v>1098</v>
      </c>
      <c r="Q228" s="42"/>
      <c r="R228" s="36" t="s">
        <v>1092</v>
      </c>
      <c r="S228" s="36" t="s">
        <v>1105</v>
      </c>
      <c r="T228" s="38" t="s">
        <v>1112</v>
      </c>
      <c r="U228" s="36" t="str">
        <f t="shared" si="38"/>
        <v>Not Included</v>
      </c>
      <c r="V228" s="52" t="s">
        <v>1619</v>
      </c>
      <c r="W228" s="38" t="s">
        <v>1465</v>
      </c>
      <c r="X228" s="48"/>
      <c r="Y228" s="48"/>
      <c r="Z228" s="48"/>
      <c r="AA228" s="48"/>
      <c r="AB228" s="48"/>
      <c r="AC228" s="48"/>
      <c r="AD228" s="48"/>
      <c r="AE228" s="48"/>
      <c r="AF228" s="48"/>
      <c r="AG228" s="48"/>
      <c r="AH228" s="48"/>
      <c r="AI228" s="48"/>
    </row>
    <row r="229" ht="15.75" customHeight="1">
      <c r="A229" s="41" t="s">
        <v>696</v>
      </c>
      <c r="B229" s="35" t="s">
        <v>1548</v>
      </c>
      <c r="C229" s="35" t="s">
        <v>1549</v>
      </c>
      <c r="D229" s="35" t="s">
        <v>1271</v>
      </c>
      <c r="E229" s="52" t="s">
        <v>1620</v>
      </c>
      <c r="F229" s="52" t="s">
        <v>1621</v>
      </c>
      <c r="G229" s="38" t="s">
        <v>1089</v>
      </c>
      <c r="H229" s="38" t="s">
        <v>1097</v>
      </c>
      <c r="I229" s="38" t="s">
        <v>1329</v>
      </c>
      <c r="J229" s="38" t="s">
        <v>1622</v>
      </c>
      <c r="K229" s="42"/>
      <c r="L229" s="42"/>
      <c r="M229" s="42"/>
      <c r="N229" s="42"/>
      <c r="O229" s="39">
        <f t="shared" si="36"/>
        <v>0</v>
      </c>
      <c r="P229" s="36" t="s">
        <v>1098</v>
      </c>
      <c r="Q229" s="42"/>
      <c r="R229" s="36" t="s">
        <v>1092</v>
      </c>
      <c r="S229" s="36" t="s">
        <v>1105</v>
      </c>
      <c r="T229" s="38" t="s">
        <v>1112</v>
      </c>
      <c r="U229" s="36" t="str">
        <f t="shared" si="38"/>
        <v>Not Included</v>
      </c>
      <c r="V229" s="52" t="s">
        <v>1623</v>
      </c>
      <c r="W229" s="38" t="s">
        <v>1465</v>
      </c>
      <c r="X229" s="48"/>
      <c r="Y229" s="48"/>
      <c r="Z229" s="48"/>
      <c r="AA229" s="48"/>
      <c r="AB229" s="48"/>
      <c r="AC229" s="48"/>
      <c r="AD229" s="48"/>
      <c r="AE229" s="48"/>
      <c r="AF229" s="48"/>
      <c r="AG229" s="48"/>
      <c r="AH229" s="48"/>
      <c r="AI229" s="48"/>
    </row>
    <row r="230" ht="15.75" customHeight="1">
      <c r="A230" s="41" t="s">
        <v>696</v>
      </c>
      <c r="B230" s="35" t="s">
        <v>1548</v>
      </c>
      <c r="C230" s="35" t="s">
        <v>1549</v>
      </c>
      <c r="D230" s="35" t="s">
        <v>1271</v>
      </c>
      <c r="E230" s="35" t="s">
        <v>1624</v>
      </c>
      <c r="F230" s="36" t="s">
        <v>1625</v>
      </c>
      <c r="G230" s="38" t="s">
        <v>1089</v>
      </c>
      <c r="H230" s="38" t="s">
        <v>1129</v>
      </c>
      <c r="I230" s="38" t="s">
        <v>1331</v>
      </c>
      <c r="J230" s="38"/>
      <c r="K230" s="38"/>
      <c r="L230" s="42"/>
      <c r="M230" s="42"/>
      <c r="N230" s="42"/>
      <c r="O230" s="39">
        <f t="shared" si="36"/>
        <v>0</v>
      </c>
      <c r="P230" s="38" t="s">
        <v>1098</v>
      </c>
      <c r="Q230" s="38"/>
      <c r="R230" s="37" t="s">
        <v>1352</v>
      </c>
      <c r="S230" s="38" t="s">
        <v>1105</v>
      </c>
      <c r="T230" s="38" t="s">
        <v>1112</v>
      </c>
      <c r="U230" s="36" t="str">
        <f t="shared" si="38"/>
        <v>Not Included</v>
      </c>
      <c r="V230" s="38" t="s">
        <v>1626</v>
      </c>
      <c r="W230" s="38" t="s">
        <v>1485</v>
      </c>
    </row>
    <row r="231" ht="77.25" customHeight="1">
      <c r="A231" s="41" t="s">
        <v>696</v>
      </c>
      <c r="B231" s="35" t="s">
        <v>1548</v>
      </c>
      <c r="C231" s="35" t="s">
        <v>1549</v>
      </c>
      <c r="D231" s="35" t="s">
        <v>1271</v>
      </c>
      <c r="E231" s="35" t="s">
        <v>1627</v>
      </c>
      <c r="F231" s="36" t="s">
        <v>1527</v>
      </c>
      <c r="G231" s="38" t="s">
        <v>1089</v>
      </c>
      <c r="H231" s="38" t="s">
        <v>1129</v>
      </c>
      <c r="I231" s="38" t="s">
        <v>1528</v>
      </c>
      <c r="J231" s="37" t="s">
        <v>1122</v>
      </c>
      <c r="K231" s="38"/>
      <c r="L231" s="42"/>
      <c r="M231" s="42"/>
      <c r="N231" s="42"/>
      <c r="O231" s="39">
        <f t="shared" si="36"/>
        <v>0</v>
      </c>
      <c r="P231" s="38" t="s">
        <v>1098</v>
      </c>
      <c r="Q231" s="38"/>
      <c r="R231" s="37" t="s">
        <v>1352</v>
      </c>
      <c r="S231" s="38" t="s">
        <v>1105</v>
      </c>
      <c r="T231" s="38" t="s">
        <v>1112</v>
      </c>
      <c r="U231" s="36" t="str">
        <f t="shared" si="38"/>
        <v>Not Included</v>
      </c>
      <c r="V231" s="38" t="s">
        <v>1628</v>
      </c>
      <c r="W231" s="38" t="s">
        <v>1485</v>
      </c>
    </row>
    <row r="232" ht="15.75" customHeight="1">
      <c r="A232" s="41" t="s">
        <v>696</v>
      </c>
      <c r="B232" s="35" t="s">
        <v>1548</v>
      </c>
      <c r="C232" s="35" t="s">
        <v>1549</v>
      </c>
      <c r="D232" s="35" t="s">
        <v>1271</v>
      </c>
      <c r="E232" s="35" t="s">
        <v>1629</v>
      </c>
      <c r="F232" s="36" t="s">
        <v>1630</v>
      </c>
      <c r="G232" s="38" t="s">
        <v>1089</v>
      </c>
      <c r="H232" s="37" t="s">
        <v>1129</v>
      </c>
      <c r="I232" s="37" t="s">
        <v>112</v>
      </c>
      <c r="J232" s="37" t="s">
        <v>1631</v>
      </c>
      <c r="K232" s="38"/>
      <c r="L232" s="42"/>
      <c r="M232" s="42"/>
      <c r="N232" s="42"/>
      <c r="O232" s="39">
        <f t="shared" si="36"/>
        <v>0</v>
      </c>
      <c r="P232" s="38" t="s">
        <v>1098</v>
      </c>
      <c r="Q232" s="38"/>
      <c r="R232" s="37" t="s">
        <v>1352</v>
      </c>
      <c r="S232" s="38" t="s">
        <v>1105</v>
      </c>
      <c r="T232" s="38" t="s">
        <v>1112</v>
      </c>
      <c r="U232" s="36" t="str">
        <f t="shared" si="38"/>
        <v>Not Included</v>
      </c>
      <c r="V232" s="52" t="s">
        <v>1632</v>
      </c>
      <c r="W232" s="38" t="s">
        <v>1485</v>
      </c>
    </row>
    <row r="233" ht="15.75" customHeight="1">
      <c r="A233" s="36" t="s">
        <v>696</v>
      </c>
      <c r="B233" s="35" t="s">
        <v>1548</v>
      </c>
      <c r="C233" s="35" t="s">
        <v>1549</v>
      </c>
      <c r="D233" s="35" t="s">
        <v>1271</v>
      </c>
      <c r="E233" s="36" t="s">
        <v>978</v>
      </c>
      <c r="F233" s="36" t="s">
        <v>978</v>
      </c>
      <c r="G233" s="38" t="s">
        <v>1089</v>
      </c>
      <c r="H233" s="38" t="s">
        <v>1529</v>
      </c>
      <c r="I233" s="38"/>
      <c r="J233" s="38"/>
      <c r="K233" s="38"/>
      <c r="L233" s="39">
        <v>0.0</v>
      </c>
      <c r="M233" s="39"/>
      <c r="N233" s="39">
        <v>0.0</v>
      </c>
      <c r="O233" s="39">
        <f t="shared" si="36"/>
        <v>0</v>
      </c>
      <c r="P233" s="36">
        <f>IF(AND((M233+N233)&gt;0,L233=0),"No Funding Goal",IF(AND((M233+N233)=0,L233=0),0,(M233+N233)/L233))</f>
        <v>0</v>
      </c>
      <c r="Q233" s="36"/>
      <c r="R233" s="36" t="s">
        <v>1092</v>
      </c>
      <c r="S233" s="38" t="s">
        <v>1100</v>
      </c>
      <c r="T233" s="38" t="s">
        <v>1286</v>
      </c>
      <c r="U233" s="36" t="str">
        <f t="shared" si="38"/>
        <v>3. Difficult</v>
      </c>
      <c r="V233" s="36" t="s">
        <v>1633</v>
      </c>
      <c r="W233" s="36" t="s">
        <v>1531</v>
      </c>
      <c r="X233" s="68"/>
      <c r="Y233" s="68"/>
      <c r="Z233" s="68"/>
      <c r="AA233" s="68"/>
      <c r="AB233" s="68"/>
      <c r="AC233" s="68"/>
      <c r="AD233" s="68"/>
      <c r="AE233" s="68"/>
      <c r="AF233" s="68"/>
      <c r="AG233" s="68"/>
      <c r="AH233" s="68"/>
    </row>
    <row r="234" ht="15.75" customHeight="1">
      <c r="A234" s="36" t="s">
        <v>696</v>
      </c>
      <c r="B234" s="35" t="s">
        <v>1548</v>
      </c>
      <c r="C234" s="35" t="s">
        <v>1549</v>
      </c>
      <c r="D234" s="35" t="s">
        <v>1271</v>
      </c>
      <c r="E234" s="52" t="s">
        <v>1634</v>
      </c>
      <c r="F234" s="37"/>
      <c r="G234" s="52" t="s">
        <v>1139</v>
      </c>
      <c r="H234" s="52" t="s">
        <v>1139</v>
      </c>
      <c r="I234" s="52" t="s">
        <v>1555</v>
      </c>
      <c r="J234" s="38" t="s">
        <v>1635</v>
      </c>
      <c r="K234" s="38"/>
      <c r="L234" s="38"/>
      <c r="M234" s="38"/>
      <c r="N234" s="38"/>
      <c r="O234" s="42"/>
      <c r="P234" s="38" t="s">
        <v>1098</v>
      </c>
      <c r="Q234" s="42"/>
      <c r="R234" s="37"/>
      <c r="S234" s="38"/>
      <c r="T234" s="38"/>
      <c r="U234" s="38"/>
      <c r="V234" s="37"/>
      <c r="W234" s="37"/>
      <c r="AI234" s="50"/>
    </row>
    <row r="235" ht="15.75" customHeight="1">
      <c r="A235" s="41" t="s">
        <v>696</v>
      </c>
      <c r="B235" s="35" t="s">
        <v>1548</v>
      </c>
      <c r="C235" s="35" t="s">
        <v>1549</v>
      </c>
      <c r="D235" s="35" t="s">
        <v>1271</v>
      </c>
      <c r="E235" s="52" t="s">
        <v>1636</v>
      </c>
      <c r="F235" s="37"/>
      <c r="G235" s="38" t="s">
        <v>1139</v>
      </c>
      <c r="H235" s="52" t="s">
        <v>1139</v>
      </c>
      <c r="I235" s="52" t="s">
        <v>1555</v>
      </c>
      <c r="J235" s="38" t="s">
        <v>1637</v>
      </c>
      <c r="K235" s="57"/>
      <c r="L235" s="57"/>
      <c r="M235" s="57"/>
      <c r="N235" s="57"/>
      <c r="O235" s="42"/>
      <c r="P235" s="38" t="s">
        <v>1098</v>
      </c>
      <c r="Q235" s="42"/>
      <c r="R235" s="38"/>
      <c r="S235" s="38"/>
      <c r="T235" s="38"/>
      <c r="U235" s="38"/>
      <c r="V235" s="38"/>
      <c r="W235" s="38"/>
      <c r="X235" s="48"/>
      <c r="Y235" s="48"/>
      <c r="Z235" s="48"/>
      <c r="AA235" s="48"/>
      <c r="AB235" s="48"/>
      <c r="AC235" s="48"/>
      <c r="AD235" s="48"/>
      <c r="AE235" s="48"/>
      <c r="AF235" s="48"/>
      <c r="AG235" s="48"/>
      <c r="AH235" s="48"/>
      <c r="AI235" s="48"/>
    </row>
    <row r="236" ht="15.75" customHeight="1">
      <c r="A236" s="41" t="s">
        <v>696</v>
      </c>
      <c r="B236" s="35" t="s">
        <v>1548</v>
      </c>
      <c r="C236" s="35" t="s">
        <v>1549</v>
      </c>
      <c r="D236" s="35" t="s">
        <v>1271</v>
      </c>
      <c r="E236" s="52" t="s">
        <v>1638</v>
      </c>
      <c r="F236" s="37"/>
      <c r="G236" s="38" t="s">
        <v>1139</v>
      </c>
      <c r="H236" s="38" t="s">
        <v>1139</v>
      </c>
      <c r="I236" s="38" t="s">
        <v>1555</v>
      </c>
      <c r="J236" s="38" t="s">
        <v>1639</v>
      </c>
      <c r="K236" s="38"/>
      <c r="L236" s="38"/>
      <c r="M236" s="38"/>
      <c r="N236" s="38"/>
      <c r="O236" s="42"/>
      <c r="P236" s="38" t="s">
        <v>1098</v>
      </c>
      <c r="Q236" s="42"/>
      <c r="R236" s="37"/>
      <c r="S236" s="38"/>
      <c r="T236" s="38"/>
      <c r="U236" s="38"/>
      <c r="V236" s="37"/>
      <c r="W236" s="37"/>
      <c r="AI236" s="50"/>
    </row>
    <row r="237" ht="78.75" customHeight="1">
      <c r="A237" s="41" t="s">
        <v>696</v>
      </c>
      <c r="B237" s="35" t="s">
        <v>1548</v>
      </c>
      <c r="C237" s="35" t="s">
        <v>1549</v>
      </c>
      <c r="D237" s="35" t="s">
        <v>1271</v>
      </c>
      <c r="E237" s="52" t="s">
        <v>1640</v>
      </c>
      <c r="F237" s="37"/>
      <c r="G237" s="38" t="s">
        <v>1139</v>
      </c>
      <c r="H237" s="52" t="s">
        <v>1139</v>
      </c>
      <c r="I237" s="52" t="s">
        <v>1109</v>
      </c>
      <c r="J237" s="38"/>
      <c r="K237" s="38"/>
      <c r="L237" s="38"/>
      <c r="M237" s="38"/>
      <c r="N237" s="38"/>
      <c r="O237" s="38"/>
      <c r="P237" s="38" t="s">
        <v>1098</v>
      </c>
      <c r="Q237" s="38"/>
      <c r="R237" s="37"/>
      <c r="S237" s="38"/>
      <c r="T237" s="38"/>
      <c r="U237" s="38"/>
      <c r="V237" s="37"/>
      <c r="W237" s="37"/>
    </row>
    <row r="238" ht="15.75" customHeight="1">
      <c r="A238" s="41" t="s">
        <v>696</v>
      </c>
      <c r="B238" s="35" t="s">
        <v>1548</v>
      </c>
      <c r="C238" s="35" t="s">
        <v>1549</v>
      </c>
      <c r="D238" s="35" t="s">
        <v>1271</v>
      </c>
      <c r="E238" s="52" t="s">
        <v>1641</v>
      </c>
      <c r="F238" s="37"/>
      <c r="G238" s="38" t="s">
        <v>1139</v>
      </c>
      <c r="H238" s="52" t="s">
        <v>1139</v>
      </c>
      <c r="I238" s="38" t="s">
        <v>1555</v>
      </c>
      <c r="J238" s="52" t="s">
        <v>1116</v>
      </c>
      <c r="K238" s="57"/>
      <c r="L238" s="57"/>
      <c r="M238" s="57"/>
      <c r="N238" s="57"/>
      <c r="O238" s="42"/>
      <c r="P238" s="38" t="s">
        <v>1098</v>
      </c>
      <c r="Q238" s="42"/>
      <c r="R238" s="38"/>
      <c r="S238" s="38"/>
      <c r="T238" s="38"/>
      <c r="U238" s="38"/>
      <c r="V238" s="38"/>
      <c r="W238" s="38"/>
      <c r="X238" s="48"/>
      <c r="Y238" s="48"/>
      <c r="Z238" s="48"/>
      <c r="AA238" s="48"/>
      <c r="AB238" s="48"/>
      <c r="AC238" s="48"/>
      <c r="AD238" s="48"/>
      <c r="AE238" s="48"/>
      <c r="AF238" s="48"/>
      <c r="AG238" s="48"/>
      <c r="AH238" s="48"/>
      <c r="AI238" s="48"/>
    </row>
    <row r="239" ht="15.75" customHeight="1">
      <c r="A239" s="41" t="s">
        <v>696</v>
      </c>
      <c r="B239" s="35" t="s">
        <v>1548</v>
      </c>
      <c r="C239" s="35" t="s">
        <v>1549</v>
      </c>
      <c r="D239" s="35" t="s">
        <v>1271</v>
      </c>
      <c r="E239" s="52" t="s">
        <v>1642</v>
      </c>
      <c r="F239" s="37"/>
      <c r="G239" s="38" t="s">
        <v>1139</v>
      </c>
      <c r="H239" s="52" t="s">
        <v>1139</v>
      </c>
      <c r="I239" s="52" t="s">
        <v>1553</v>
      </c>
      <c r="J239" s="38"/>
      <c r="K239" s="57"/>
      <c r="L239" s="57"/>
      <c r="M239" s="57"/>
      <c r="N239" s="57"/>
      <c r="O239" s="42"/>
      <c r="P239" s="38" t="s">
        <v>1098</v>
      </c>
      <c r="Q239" s="42"/>
      <c r="R239" s="38"/>
      <c r="S239" s="38"/>
      <c r="T239" s="38"/>
      <c r="U239" s="38"/>
      <c r="V239" s="38"/>
      <c r="W239" s="38"/>
      <c r="X239" s="48"/>
      <c r="Y239" s="48"/>
      <c r="Z239" s="48"/>
      <c r="AA239" s="48"/>
      <c r="AB239" s="48"/>
      <c r="AC239" s="48"/>
      <c r="AD239" s="48"/>
      <c r="AE239" s="48"/>
      <c r="AF239" s="48"/>
      <c r="AG239" s="48"/>
      <c r="AH239" s="48"/>
      <c r="AI239" s="48"/>
    </row>
    <row r="240" ht="15.75" customHeight="1">
      <c r="A240" s="41" t="s">
        <v>696</v>
      </c>
      <c r="B240" s="35" t="s">
        <v>1548</v>
      </c>
      <c r="C240" s="35" t="s">
        <v>1549</v>
      </c>
      <c r="D240" s="35" t="s">
        <v>1271</v>
      </c>
      <c r="E240" s="52" t="s">
        <v>1643</v>
      </c>
      <c r="F240" s="37"/>
      <c r="G240" s="38" t="s">
        <v>1139</v>
      </c>
      <c r="H240" s="52" t="s">
        <v>1139</v>
      </c>
      <c r="I240" s="52" t="s">
        <v>1555</v>
      </c>
      <c r="J240" s="52" t="s">
        <v>1644</v>
      </c>
      <c r="K240" s="57"/>
      <c r="L240" s="57"/>
      <c r="M240" s="57"/>
      <c r="N240" s="57"/>
      <c r="O240" s="42"/>
      <c r="P240" s="38" t="s">
        <v>1098</v>
      </c>
      <c r="Q240" s="42"/>
      <c r="R240" s="38"/>
      <c r="S240" s="38"/>
      <c r="T240" s="38"/>
      <c r="U240" s="38"/>
      <c r="V240" s="38"/>
      <c r="W240" s="38"/>
      <c r="X240" s="48"/>
      <c r="Y240" s="48"/>
      <c r="Z240" s="48"/>
      <c r="AA240" s="48"/>
      <c r="AB240" s="48"/>
      <c r="AC240" s="48"/>
      <c r="AD240" s="48"/>
      <c r="AE240" s="48"/>
      <c r="AF240" s="48"/>
      <c r="AG240" s="48"/>
      <c r="AH240" s="48"/>
      <c r="AI240" s="48"/>
    </row>
    <row r="241" ht="129.75" customHeight="1">
      <c r="A241" s="41" t="s">
        <v>696</v>
      </c>
      <c r="B241" s="35" t="s">
        <v>1548</v>
      </c>
      <c r="C241" s="35" t="s">
        <v>1549</v>
      </c>
      <c r="D241" s="35" t="s">
        <v>1271</v>
      </c>
      <c r="E241" s="52" t="s">
        <v>1645</v>
      </c>
      <c r="F241" s="37"/>
      <c r="G241" s="38" t="s">
        <v>1139</v>
      </c>
      <c r="H241" s="52" t="s">
        <v>1139</v>
      </c>
      <c r="I241" s="52" t="s">
        <v>1555</v>
      </c>
      <c r="J241" s="38"/>
      <c r="K241" s="57"/>
      <c r="L241" s="57"/>
      <c r="M241" s="57"/>
      <c r="N241" s="57"/>
      <c r="O241" s="42"/>
      <c r="P241" s="38" t="s">
        <v>1098</v>
      </c>
      <c r="Q241" s="42"/>
      <c r="R241" s="38"/>
      <c r="S241" s="38"/>
      <c r="T241" s="38"/>
      <c r="U241" s="38"/>
      <c r="V241" s="38"/>
      <c r="W241" s="38"/>
      <c r="X241" s="48"/>
      <c r="Y241" s="48"/>
      <c r="Z241" s="48"/>
      <c r="AA241" s="48"/>
      <c r="AB241" s="48"/>
      <c r="AC241" s="48"/>
      <c r="AD241" s="48"/>
      <c r="AE241" s="48"/>
      <c r="AF241" s="48"/>
      <c r="AG241" s="48"/>
      <c r="AH241" s="48"/>
      <c r="AI241" s="48"/>
    </row>
    <row r="242" ht="76.5" customHeight="1">
      <c r="A242" s="41" t="s">
        <v>696</v>
      </c>
      <c r="B242" s="35" t="s">
        <v>1548</v>
      </c>
      <c r="C242" s="35" t="s">
        <v>1549</v>
      </c>
      <c r="D242" s="35" t="s">
        <v>1271</v>
      </c>
      <c r="E242" s="52" t="s">
        <v>1578</v>
      </c>
      <c r="F242" s="37"/>
      <c r="G242" s="38" t="s">
        <v>1139</v>
      </c>
      <c r="H242" s="52" t="s">
        <v>1139</v>
      </c>
      <c r="I242" s="52" t="s">
        <v>1555</v>
      </c>
      <c r="J242" s="38"/>
      <c r="K242" s="57"/>
      <c r="L242" s="57"/>
      <c r="M242" s="57"/>
      <c r="N242" s="57"/>
      <c r="O242" s="42"/>
      <c r="P242" s="38" t="s">
        <v>1098</v>
      </c>
      <c r="Q242" s="42"/>
      <c r="R242" s="38"/>
      <c r="S242" s="38"/>
      <c r="T242" s="38"/>
      <c r="U242" s="38"/>
      <c r="V242" s="38"/>
      <c r="W242" s="38"/>
      <c r="X242" s="48"/>
      <c r="Y242" s="48"/>
      <c r="Z242" s="48"/>
      <c r="AA242" s="48"/>
      <c r="AB242" s="48"/>
      <c r="AC242" s="48"/>
      <c r="AD242" s="48"/>
      <c r="AE242" s="48"/>
      <c r="AF242" s="48"/>
      <c r="AG242" s="48"/>
      <c r="AH242" s="48"/>
      <c r="AI242" s="48"/>
    </row>
    <row r="243" ht="63.75" customHeight="1">
      <c r="A243" s="41" t="s">
        <v>696</v>
      </c>
      <c r="B243" s="35" t="s">
        <v>1548</v>
      </c>
      <c r="C243" s="35" t="s">
        <v>1549</v>
      </c>
      <c r="D243" s="35" t="s">
        <v>1271</v>
      </c>
      <c r="E243" s="77" t="s">
        <v>1646</v>
      </c>
      <c r="F243" s="52" t="s">
        <v>1647</v>
      </c>
      <c r="G243" s="38" t="s">
        <v>1139</v>
      </c>
      <c r="H243" s="38" t="s">
        <v>1139</v>
      </c>
      <c r="I243" s="52" t="s">
        <v>1555</v>
      </c>
      <c r="J243" s="38"/>
      <c r="K243" s="42"/>
      <c r="L243" s="42"/>
      <c r="M243" s="42"/>
      <c r="N243" s="42"/>
      <c r="O243" s="42"/>
      <c r="P243" s="38" t="s">
        <v>1098</v>
      </c>
      <c r="Q243" s="42"/>
      <c r="R243" s="38"/>
      <c r="S243" s="36" t="s">
        <v>1100</v>
      </c>
      <c r="T243" s="36" t="s">
        <v>1106</v>
      </c>
      <c r="U243" s="38"/>
      <c r="V243" s="52" t="s">
        <v>1648</v>
      </c>
      <c r="W243" s="38" t="s">
        <v>1465</v>
      </c>
      <c r="X243" s="48"/>
      <c r="Y243" s="48"/>
      <c r="Z243" s="48"/>
      <c r="AA243" s="48"/>
      <c r="AB243" s="48"/>
      <c r="AC243" s="48"/>
      <c r="AD243" s="48"/>
      <c r="AE243" s="48"/>
      <c r="AF243" s="48"/>
      <c r="AG243" s="48"/>
      <c r="AH243" s="48"/>
      <c r="AI243" s="48"/>
    </row>
    <row r="244" ht="83.25" customHeight="1">
      <c r="A244" s="41" t="s">
        <v>696</v>
      </c>
      <c r="B244" s="35" t="s">
        <v>1548</v>
      </c>
      <c r="C244" s="35" t="s">
        <v>1549</v>
      </c>
      <c r="D244" s="35" t="s">
        <v>1271</v>
      </c>
      <c r="E244" s="77" t="s">
        <v>1649</v>
      </c>
      <c r="F244" s="52" t="s">
        <v>1650</v>
      </c>
      <c r="G244" s="38" t="s">
        <v>1089</v>
      </c>
      <c r="H244" s="38" t="s">
        <v>1533</v>
      </c>
      <c r="I244" s="38" t="s">
        <v>1329</v>
      </c>
      <c r="J244" s="38" t="s">
        <v>1555</v>
      </c>
      <c r="K244" s="42"/>
      <c r="L244" s="42"/>
      <c r="M244" s="42"/>
      <c r="N244" s="42"/>
      <c r="O244" s="39">
        <f t="shared" ref="O244:O279" si="39">M244+N244</f>
        <v>0</v>
      </c>
      <c r="P244" s="38" t="s">
        <v>1098</v>
      </c>
      <c r="Q244" s="42"/>
      <c r="R244" s="36" t="s">
        <v>1092</v>
      </c>
      <c r="S244" s="36" t="s">
        <v>1100</v>
      </c>
      <c r="T244" s="36" t="s">
        <v>1112</v>
      </c>
      <c r="U244" s="36" t="str">
        <f t="shared" ref="U244:U247" si="40">IFS(
    P244="No Funding Goal","Not Included",
    P244="Not Applicable","Not Included",
    P244&gt;=0.75,"1. Easy",
    AND(P244&lt;0.75,P244&gt;=0.5),"2. Moderate",
    P244&lt;0.5,"3. Difficult"
)</f>
        <v>Not Included</v>
      </c>
      <c r="V244" s="52" t="s">
        <v>1651</v>
      </c>
      <c r="W244" s="38" t="s">
        <v>1465</v>
      </c>
      <c r="X244" s="48"/>
      <c r="Y244" s="48"/>
      <c r="Z244" s="48"/>
      <c r="AA244" s="48"/>
      <c r="AB244" s="48"/>
      <c r="AC244" s="48"/>
      <c r="AD244" s="48"/>
      <c r="AE244" s="48"/>
      <c r="AF244" s="48"/>
      <c r="AG244" s="48"/>
      <c r="AH244" s="48"/>
      <c r="AI244" s="48"/>
    </row>
    <row r="245" ht="15.75" customHeight="1">
      <c r="A245" s="41" t="s">
        <v>696</v>
      </c>
      <c r="B245" s="35" t="s">
        <v>1548</v>
      </c>
      <c r="C245" s="35" t="s">
        <v>1549</v>
      </c>
      <c r="D245" s="35" t="s">
        <v>1271</v>
      </c>
      <c r="E245" s="77" t="s">
        <v>1652</v>
      </c>
      <c r="F245" s="52" t="s">
        <v>1653</v>
      </c>
      <c r="G245" s="38" t="s">
        <v>1089</v>
      </c>
      <c r="H245" s="38" t="s">
        <v>1533</v>
      </c>
      <c r="I245" s="38" t="s">
        <v>1329</v>
      </c>
      <c r="J245" s="38" t="s">
        <v>1622</v>
      </c>
      <c r="K245" s="42"/>
      <c r="L245" s="42"/>
      <c r="M245" s="42"/>
      <c r="N245" s="42"/>
      <c r="O245" s="39">
        <f t="shared" si="39"/>
        <v>0</v>
      </c>
      <c r="P245" s="36" t="s">
        <v>1098</v>
      </c>
      <c r="Q245" s="42"/>
      <c r="R245" s="36" t="s">
        <v>1092</v>
      </c>
      <c r="S245" s="36" t="s">
        <v>1100</v>
      </c>
      <c r="T245" s="36" t="s">
        <v>1112</v>
      </c>
      <c r="U245" s="36" t="str">
        <f t="shared" si="40"/>
        <v>Not Included</v>
      </c>
      <c r="V245" s="52" t="s">
        <v>1654</v>
      </c>
      <c r="W245" s="38" t="s">
        <v>1465</v>
      </c>
      <c r="X245" s="48"/>
      <c r="Y245" s="48"/>
      <c r="Z245" s="48"/>
      <c r="AA245" s="48"/>
      <c r="AB245" s="48"/>
      <c r="AC245" s="48"/>
      <c r="AD245" s="48"/>
      <c r="AE245" s="48"/>
      <c r="AF245" s="48"/>
      <c r="AG245" s="48"/>
      <c r="AH245" s="48"/>
      <c r="AI245" s="48"/>
    </row>
    <row r="246" ht="68.25" customHeight="1">
      <c r="A246" s="41" t="s">
        <v>696</v>
      </c>
      <c r="B246" s="35" t="s">
        <v>1548</v>
      </c>
      <c r="C246" s="35" t="s">
        <v>1549</v>
      </c>
      <c r="D246" s="35" t="s">
        <v>1271</v>
      </c>
      <c r="E246" s="77" t="s">
        <v>1655</v>
      </c>
      <c r="F246" s="52" t="s">
        <v>1656</v>
      </c>
      <c r="G246" s="38" t="s">
        <v>1089</v>
      </c>
      <c r="H246" s="38" t="s">
        <v>1533</v>
      </c>
      <c r="I246" s="38" t="s">
        <v>1329</v>
      </c>
      <c r="J246" s="38" t="s">
        <v>1555</v>
      </c>
      <c r="K246" s="42"/>
      <c r="L246" s="42"/>
      <c r="M246" s="42"/>
      <c r="N246" s="42"/>
      <c r="O246" s="39">
        <f t="shared" si="39"/>
        <v>0</v>
      </c>
      <c r="P246" s="36" t="s">
        <v>1098</v>
      </c>
      <c r="Q246" s="42"/>
      <c r="R246" s="36" t="s">
        <v>1092</v>
      </c>
      <c r="S246" s="36" t="s">
        <v>1100</v>
      </c>
      <c r="T246" s="36" t="s">
        <v>1112</v>
      </c>
      <c r="U246" s="36" t="str">
        <f t="shared" si="40"/>
        <v>Not Included</v>
      </c>
      <c r="V246" s="52" t="s">
        <v>1657</v>
      </c>
      <c r="W246" s="38" t="s">
        <v>1465</v>
      </c>
      <c r="X246" s="48"/>
      <c r="Y246" s="48"/>
      <c r="Z246" s="48"/>
      <c r="AA246" s="48"/>
      <c r="AB246" s="48"/>
      <c r="AC246" s="48"/>
      <c r="AD246" s="48"/>
      <c r="AE246" s="48"/>
      <c r="AF246" s="48"/>
      <c r="AG246" s="48"/>
      <c r="AH246" s="48"/>
      <c r="AI246" s="48"/>
    </row>
    <row r="247" ht="15.75" customHeight="1">
      <c r="A247" s="41" t="s">
        <v>696</v>
      </c>
      <c r="B247" s="35" t="s">
        <v>1548</v>
      </c>
      <c r="C247" s="35" t="s">
        <v>1549</v>
      </c>
      <c r="D247" s="35" t="s">
        <v>1271</v>
      </c>
      <c r="E247" s="36" t="s">
        <v>995</v>
      </c>
      <c r="F247" s="36" t="s">
        <v>995</v>
      </c>
      <c r="G247" s="38" t="s">
        <v>1089</v>
      </c>
      <c r="H247" s="38" t="s">
        <v>1369</v>
      </c>
      <c r="I247" s="38" t="s">
        <v>1370</v>
      </c>
      <c r="J247" s="38"/>
      <c r="K247" s="38"/>
      <c r="L247" s="39">
        <v>0.0</v>
      </c>
      <c r="M247" s="39"/>
      <c r="N247" s="39">
        <v>0.0</v>
      </c>
      <c r="O247" s="39">
        <f t="shared" si="39"/>
        <v>0</v>
      </c>
      <c r="P247" s="36">
        <f>IF(AND((M247+N247)&gt;0,L247=0),"1",IF(AND((M247+N247)=0,L247=0),0,(M247+N247)/L247))</f>
        <v>0</v>
      </c>
      <c r="Q247" s="36"/>
      <c r="R247" s="45" t="s">
        <v>1371</v>
      </c>
      <c r="S247" s="36" t="s">
        <v>1100</v>
      </c>
      <c r="T247" s="36" t="s">
        <v>1112</v>
      </c>
      <c r="U247" s="36" t="str">
        <f t="shared" si="40"/>
        <v>3. Difficult</v>
      </c>
      <c r="V247" s="36" t="s">
        <v>1658</v>
      </c>
      <c r="W247" s="36" t="s">
        <v>1659</v>
      </c>
      <c r="X247" s="68"/>
      <c r="Y247" s="68"/>
      <c r="Z247" s="68"/>
      <c r="AA247" s="68"/>
      <c r="AB247" s="68"/>
      <c r="AC247" s="68"/>
      <c r="AD247" s="68"/>
      <c r="AE247" s="68"/>
      <c r="AF247" s="68"/>
      <c r="AG247" s="68"/>
      <c r="AH247" s="68"/>
    </row>
    <row r="248" ht="62.25" customHeight="1">
      <c r="A248" s="36" t="s">
        <v>321</v>
      </c>
      <c r="B248" s="35" t="s">
        <v>1276</v>
      </c>
      <c r="C248" s="35" t="s">
        <v>1277</v>
      </c>
      <c r="D248" s="35" t="s">
        <v>1278</v>
      </c>
      <c r="E248" s="36" t="s">
        <v>349</v>
      </c>
      <c r="F248" s="36" t="s">
        <v>349</v>
      </c>
      <c r="G248" s="36" t="s">
        <v>1089</v>
      </c>
      <c r="H248" s="37" t="s">
        <v>1145</v>
      </c>
      <c r="I248" s="37"/>
      <c r="J248" s="38"/>
      <c r="K248" s="38"/>
      <c r="L248" s="39">
        <v>0.0</v>
      </c>
      <c r="M248" s="39">
        <v>0.0</v>
      </c>
      <c r="N248" s="39">
        <v>0.0</v>
      </c>
      <c r="O248" s="39">
        <f t="shared" si="39"/>
        <v>0</v>
      </c>
      <c r="P248" s="47"/>
      <c r="Q248" s="36"/>
      <c r="R248" s="37" t="s">
        <v>1415</v>
      </c>
      <c r="S248" s="36" t="s">
        <v>1100</v>
      </c>
      <c r="T248" s="38" t="s">
        <v>1112</v>
      </c>
      <c r="U248" s="36" t="str">
        <f>IFS(
    Q248="No Funding Goal","Not Included",
    Q248="Not Applicable","Not Included",
    Q248&gt;=0.75,"1. Easy",
    AND(Q248&lt;0.75,Q248&gt;=0.5),"2. Moderate",
    Q248&lt;0.5,"3. Difficult"
)</f>
        <v>3. Difficult</v>
      </c>
      <c r="V248" s="36" t="s">
        <v>1660</v>
      </c>
      <c r="W248" s="36" t="s">
        <v>1284</v>
      </c>
      <c r="X248" s="51"/>
      <c r="Y248" s="51"/>
      <c r="Z248" s="51"/>
      <c r="AA248" s="51"/>
      <c r="AB248" s="51"/>
      <c r="AC248" s="51"/>
      <c r="AD248" s="51"/>
      <c r="AE248" s="51"/>
      <c r="AF248" s="51"/>
      <c r="AG248" s="51"/>
      <c r="AH248" s="51"/>
    </row>
    <row r="249" ht="143.25" customHeight="1">
      <c r="A249" s="36" t="s">
        <v>321</v>
      </c>
      <c r="B249" s="35" t="s">
        <v>1276</v>
      </c>
      <c r="C249" s="35" t="s">
        <v>1277</v>
      </c>
      <c r="D249" s="35" t="s">
        <v>1278</v>
      </c>
      <c r="E249" s="36" t="s">
        <v>369</v>
      </c>
      <c r="F249" s="36" t="s">
        <v>370</v>
      </c>
      <c r="G249" s="36" t="s">
        <v>1089</v>
      </c>
      <c r="H249" s="37" t="s">
        <v>1162</v>
      </c>
      <c r="I249" s="37" t="s">
        <v>1163</v>
      </c>
      <c r="J249" s="38"/>
      <c r="K249" s="38"/>
      <c r="L249" s="42"/>
      <c r="M249" s="42"/>
      <c r="N249" s="42"/>
      <c r="O249" s="39">
        <f t="shared" si="39"/>
        <v>0</v>
      </c>
      <c r="P249" s="38" t="s">
        <v>1098</v>
      </c>
      <c r="Q249" s="38"/>
      <c r="R249" s="38" t="s">
        <v>1564</v>
      </c>
      <c r="S249" s="38" t="s">
        <v>1105</v>
      </c>
      <c r="T249" s="38" t="s">
        <v>1112</v>
      </c>
      <c r="U249" s="36" t="str">
        <f t="shared" ref="U249:U279" si="41">IFS(
    P249="No Funding Goal","Not Included",
    P249="Not Applicable","Not Included",
    P249&gt;=0.75,"1. Easy",
    AND(P249&lt;0.75,P249&gt;=0.5),"2. Moderate",
    P249&lt;0.5,"3. Difficult"
)</f>
        <v>Not Included</v>
      </c>
      <c r="V249" s="38" t="s">
        <v>1661</v>
      </c>
      <c r="W249" s="38" t="s">
        <v>1284</v>
      </c>
    </row>
    <row r="250" ht="57.0" customHeight="1">
      <c r="A250" s="36" t="s">
        <v>321</v>
      </c>
      <c r="B250" s="35" t="s">
        <v>1276</v>
      </c>
      <c r="C250" s="35" t="s">
        <v>1277</v>
      </c>
      <c r="D250" s="35" t="s">
        <v>1278</v>
      </c>
      <c r="E250" s="36" t="s">
        <v>1662</v>
      </c>
      <c r="F250" s="36" t="s">
        <v>1662</v>
      </c>
      <c r="G250" s="36" t="s">
        <v>1089</v>
      </c>
      <c r="H250" s="36" t="s">
        <v>1192</v>
      </c>
      <c r="I250" s="36" t="s">
        <v>1279</v>
      </c>
      <c r="J250" s="36"/>
      <c r="K250" s="36"/>
      <c r="L250" s="39"/>
      <c r="M250" s="39"/>
      <c r="N250" s="39"/>
      <c r="O250" s="39">
        <f t="shared" si="39"/>
        <v>0</v>
      </c>
      <c r="P250" s="36" t="s">
        <v>1098</v>
      </c>
      <c r="Q250" s="36"/>
      <c r="R250" s="36" t="s">
        <v>1570</v>
      </c>
      <c r="S250" s="36" t="s">
        <v>1105</v>
      </c>
      <c r="T250" s="38" t="s">
        <v>1094</v>
      </c>
      <c r="U250" s="36" t="str">
        <f t="shared" si="41"/>
        <v>Not Included</v>
      </c>
      <c r="V250" s="36"/>
      <c r="W250" s="52"/>
      <c r="X250" s="40"/>
      <c r="Y250" s="40"/>
      <c r="Z250" s="40"/>
      <c r="AA250" s="40"/>
      <c r="AB250" s="40"/>
      <c r="AC250" s="40"/>
      <c r="AD250" s="40"/>
      <c r="AE250" s="40"/>
      <c r="AF250" s="40"/>
      <c r="AG250" s="40"/>
      <c r="AH250" s="40"/>
      <c r="AI250" s="40"/>
    </row>
    <row r="251" ht="15.75" customHeight="1">
      <c r="A251" s="38" t="s">
        <v>321</v>
      </c>
      <c r="B251" s="35" t="s">
        <v>1276</v>
      </c>
      <c r="C251" s="35" t="s">
        <v>1277</v>
      </c>
      <c r="D251" s="35" t="s">
        <v>1278</v>
      </c>
      <c r="E251" s="37" t="s">
        <v>1663</v>
      </c>
      <c r="F251" s="37" t="s">
        <v>1664</v>
      </c>
      <c r="G251" s="36" t="s">
        <v>1089</v>
      </c>
      <c r="H251" s="38" t="s">
        <v>1117</v>
      </c>
      <c r="I251" s="38" t="s">
        <v>26</v>
      </c>
      <c r="J251" s="38" t="s">
        <v>41</v>
      </c>
      <c r="K251" s="38"/>
      <c r="L251" s="42"/>
      <c r="M251" s="42"/>
      <c r="N251" s="42"/>
      <c r="O251" s="39">
        <f t="shared" si="39"/>
        <v>0</v>
      </c>
      <c r="P251" s="38" t="s">
        <v>1098</v>
      </c>
      <c r="Q251" s="36"/>
      <c r="R251" s="37" t="s">
        <v>1665</v>
      </c>
      <c r="S251" s="38" t="s">
        <v>1105</v>
      </c>
      <c r="T251" s="38" t="s">
        <v>1112</v>
      </c>
      <c r="U251" s="36" t="str">
        <f t="shared" si="41"/>
        <v>Not Included</v>
      </c>
      <c r="V251" s="38"/>
      <c r="W251" s="38"/>
      <c r="X251" s="50"/>
      <c r="Y251" s="50"/>
      <c r="Z251" s="50"/>
      <c r="AA251" s="50"/>
      <c r="AB251" s="50"/>
      <c r="AC251" s="50"/>
      <c r="AD251" s="50"/>
      <c r="AE251" s="50"/>
      <c r="AF251" s="50"/>
      <c r="AG251" s="50"/>
      <c r="AH251" s="50"/>
    </row>
    <row r="252" ht="87.0" customHeight="1">
      <c r="A252" s="36" t="s">
        <v>321</v>
      </c>
      <c r="B252" s="35" t="s">
        <v>1276</v>
      </c>
      <c r="C252" s="35" t="s">
        <v>1277</v>
      </c>
      <c r="D252" s="35" t="s">
        <v>1278</v>
      </c>
      <c r="E252" s="36" t="s">
        <v>339</v>
      </c>
      <c r="F252" s="36" t="s">
        <v>339</v>
      </c>
      <c r="G252" s="36" t="s">
        <v>1089</v>
      </c>
      <c r="H252" s="38" t="s">
        <v>1117</v>
      </c>
      <c r="I252" s="38" t="s">
        <v>1118</v>
      </c>
      <c r="J252" s="38" t="s">
        <v>1239</v>
      </c>
      <c r="K252" s="38"/>
      <c r="L252" s="42"/>
      <c r="M252" s="42"/>
      <c r="N252" s="42"/>
      <c r="O252" s="39">
        <f t="shared" si="39"/>
        <v>0</v>
      </c>
      <c r="P252" s="38" t="s">
        <v>1098</v>
      </c>
      <c r="Q252" s="38"/>
      <c r="R252" s="37" t="s">
        <v>1092</v>
      </c>
      <c r="S252" s="38" t="s">
        <v>1105</v>
      </c>
      <c r="T252" s="36" t="s">
        <v>1112</v>
      </c>
      <c r="U252" s="36" t="str">
        <f t="shared" si="41"/>
        <v>Not Included</v>
      </c>
      <c r="V252" s="38" t="s">
        <v>1666</v>
      </c>
      <c r="W252" s="38" t="s">
        <v>1284</v>
      </c>
      <c r="AI252" s="78"/>
    </row>
    <row r="253" ht="15.75" customHeight="1">
      <c r="A253" s="36" t="s">
        <v>321</v>
      </c>
      <c r="B253" s="35" t="s">
        <v>1276</v>
      </c>
      <c r="C253" s="35" t="s">
        <v>1277</v>
      </c>
      <c r="D253" s="35" t="s">
        <v>1278</v>
      </c>
      <c r="E253" s="79" t="s">
        <v>1667</v>
      </c>
      <c r="F253" s="79" t="s">
        <v>1667</v>
      </c>
      <c r="G253" s="36" t="s">
        <v>1089</v>
      </c>
      <c r="H253" s="37" t="s">
        <v>1117</v>
      </c>
      <c r="I253" s="37" t="s">
        <v>1668</v>
      </c>
      <c r="J253" s="38"/>
      <c r="K253" s="38"/>
      <c r="L253" s="39"/>
      <c r="M253" s="39"/>
      <c r="N253" s="39"/>
      <c r="O253" s="39">
        <f t="shared" si="39"/>
        <v>0</v>
      </c>
      <c r="P253" s="38" t="s">
        <v>1098</v>
      </c>
      <c r="Q253" s="38"/>
      <c r="R253" s="37" t="s">
        <v>1092</v>
      </c>
      <c r="S253" s="36" t="s">
        <v>1105</v>
      </c>
      <c r="T253" s="36" t="s">
        <v>1112</v>
      </c>
      <c r="U253" s="36" t="str">
        <f t="shared" si="41"/>
        <v>Not Included</v>
      </c>
      <c r="V253" s="36"/>
      <c r="W253" s="37"/>
      <c r="X253" s="40"/>
      <c r="Y253" s="40"/>
      <c r="Z253" s="40"/>
      <c r="AA253" s="40"/>
      <c r="AB253" s="40"/>
      <c r="AC253" s="40"/>
      <c r="AD253" s="40"/>
      <c r="AE253" s="40"/>
      <c r="AF253" s="40"/>
      <c r="AG253" s="40"/>
      <c r="AH253" s="40"/>
      <c r="AI253" s="40"/>
    </row>
    <row r="254" ht="15.75" customHeight="1">
      <c r="A254" s="36" t="s">
        <v>321</v>
      </c>
      <c r="B254" s="35" t="s">
        <v>1276</v>
      </c>
      <c r="C254" s="35" t="s">
        <v>1277</v>
      </c>
      <c r="D254" s="35" t="s">
        <v>1278</v>
      </c>
      <c r="E254" s="79" t="s">
        <v>1669</v>
      </c>
      <c r="F254" s="79" t="s">
        <v>1669</v>
      </c>
      <c r="G254" s="36" t="s">
        <v>1089</v>
      </c>
      <c r="H254" s="37" t="s">
        <v>1117</v>
      </c>
      <c r="I254" s="37" t="s">
        <v>1670</v>
      </c>
      <c r="J254" s="38"/>
      <c r="K254" s="38"/>
      <c r="L254" s="39"/>
      <c r="M254" s="39"/>
      <c r="N254" s="39"/>
      <c r="O254" s="39">
        <f t="shared" si="39"/>
        <v>0</v>
      </c>
      <c r="P254" s="38" t="s">
        <v>1098</v>
      </c>
      <c r="Q254" s="38"/>
      <c r="R254" s="37" t="s">
        <v>1092</v>
      </c>
      <c r="S254" s="36" t="s">
        <v>1105</v>
      </c>
      <c r="T254" s="36" t="s">
        <v>1112</v>
      </c>
      <c r="U254" s="36" t="str">
        <f t="shared" si="41"/>
        <v>Not Included</v>
      </c>
      <c r="V254" s="36"/>
      <c r="W254" s="37"/>
      <c r="X254" s="40"/>
      <c r="Y254" s="40"/>
      <c r="Z254" s="40"/>
      <c r="AA254" s="40"/>
      <c r="AB254" s="40"/>
      <c r="AC254" s="40"/>
      <c r="AD254" s="40"/>
      <c r="AE254" s="40"/>
      <c r="AF254" s="40"/>
      <c r="AG254" s="40"/>
      <c r="AH254" s="40"/>
      <c r="AI254" s="40"/>
    </row>
    <row r="255" ht="50.25" customHeight="1">
      <c r="A255" s="36" t="s">
        <v>321</v>
      </c>
      <c r="B255" s="35" t="s">
        <v>1276</v>
      </c>
      <c r="C255" s="35" t="s">
        <v>1277</v>
      </c>
      <c r="D255" s="35" t="s">
        <v>1278</v>
      </c>
      <c r="E255" s="79" t="s">
        <v>1671</v>
      </c>
      <c r="F255" s="79" t="s">
        <v>1671</v>
      </c>
      <c r="G255" s="36" t="s">
        <v>1089</v>
      </c>
      <c r="H255" s="37" t="s">
        <v>1117</v>
      </c>
      <c r="I255" s="37" t="s">
        <v>1672</v>
      </c>
      <c r="J255" s="38"/>
      <c r="K255" s="38"/>
      <c r="L255" s="39"/>
      <c r="M255" s="39"/>
      <c r="N255" s="39"/>
      <c r="O255" s="39">
        <f t="shared" si="39"/>
        <v>0</v>
      </c>
      <c r="P255" s="38" t="s">
        <v>1098</v>
      </c>
      <c r="Q255" s="38"/>
      <c r="R255" s="37" t="s">
        <v>1092</v>
      </c>
      <c r="S255" s="36" t="s">
        <v>1105</v>
      </c>
      <c r="T255" s="36" t="s">
        <v>1112</v>
      </c>
      <c r="U255" s="36" t="str">
        <f t="shared" si="41"/>
        <v>Not Included</v>
      </c>
      <c r="V255" s="36"/>
      <c r="W255" s="37"/>
      <c r="X255" s="40"/>
      <c r="Y255" s="40"/>
      <c r="Z255" s="40"/>
      <c r="AA255" s="40"/>
      <c r="AB255" s="40"/>
      <c r="AC255" s="40"/>
      <c r="AD255" s="40"/>
      <c r="AE255" s="40"/>
      <c r="AF255" s="40"/>
      <c r="AG255" s="40"/>
      <c r="AH255" s="40"/>
      <c r="AI255" s="40"/>
    </row>
    <row r="256" ht="66.75" customHeight="1">
      <c r="A256" s="36" t="s">
        <v>321</v>
      </c>
      <c r="B256" s="35" t="s">
        <v>1276</v>
      </c>
      <c r="C256" s="35" t="s">
        <v>1277</v>
      </c>
      <c r="D256" s="35" t="s">
        <v>1278</v>
      </c>
      <c r="E256" s="36" t="s">
        <v>356</v>
      </c>
      <c r="F256" s="36" t="s">
        <v>357</v>
      </c>
      <c r="G256" s="36" t="s">
        <v>1089</v>
      </c>
      <c r="H256" s="38" t="s">
        <v>1117</v>
      </c>
      <c r="I256" s="38" t="s">
        <v>1118</v>
      </c>
      <c r="J256" s="38" t="s">
        <v>1673</v>
      </c>
      <c r="K256" s="38"/>
      <c r="L256" s="42"/>
      <c r="M256" s="42"/>
      <c r="N256" s="42"/>
      <c r="O256" s="39">
        <f t="shared" si="39"/>
        <v>0</v>
      </c>
      <c r="P256" s="38" t="s">
        <v>1098</v>
      </c>
      <c r="Q256" s="38"/>
      <c r="R256" s="37" t="s">
        <v>1092</v>
      </c>
      <c r="S256" s="38" t="s">
        <v>1105</v>
      </c>
      <c r="T256" s="36" t="s">
        <v>1112</v>
      </c>
      <c r="U256" s="36" t="str">
        <f t="shared" si="41"/>
        <v>Not Included</v>
      </c>
      <c r="V256" s="38" t="s">
        <v>1674</v>
      </c>
      <c r="W256" s="38" t="s">
        <v>1284</v>
      </c>
    </row>
    <row r="257" ht="15.75" customHeight="1">
      <c r="A257" s="36" t="s">
        <v>321</v>
      </c>
      <c r="B257" s="35" t="s">
        <v>1276</v>
      </c>
      <c r="C257" s="35" t="s">
        <v>1277</v>
      </c>
      <c r="D257" s="35" t="s">
        <v>1278</v>
      </c>
      <c r="E257" s="79" t="s">
        <v>1675</v>
      </c>
      <c r="F257" s="79" t="s">
        <v>1675</v>
      </c>
      <c r="G257" s="36" t="s">
        <v>1089</v>
      </c>
      <c r="H257" s="37" t="s">
        <v>1117</v>
      </c>
      <c r="I257" s="37" t="s">
        <v>646</v>
      </c>
      <c r="J257" s="38"/>
      <c r="K257" s="38"/>
      <c r="L257" s="39"/>
      <c r="M257" s="39"/>
      <c r="N257" s="39"/>
      <c r="O257" s="39">
        <f t="shared" si="39"/>
        <v>0</v>
      </c>
      <c r="P257" s="38" t="s">
        <v>1098</v>
      </c>
      <c r="Q257" s="38"/>
      <c r="R257" s="37" t="s">
        <v>1092</v>
      </c>
      <c r="S257" s="36" t="s">
        <v>1105</v>
      </c>
      <c r="T257" s="36" t="s">
        <v>1112</v>
      </c>
      <c r="U257" s="36" t="str">
        <f t="shared" si="41"/>
        <v>Not Included</v>
      </c>
      <c r="V257" s="36"/>
      <c r="W257" s="37"/>
      <c r="X257" s="40"/>
      <c r="Y257" s="40"/>
      <c r="Z257" s="40"/>
      <c r="AA257" s="40"/>
      <c r="AB257" s="40"/>
      <c r="AC257" s="40"/>
      <c r="AD257" s="40"/>
      <c r="AE257" s="40"/>
      <c r="AF257" s="40"/>
      <c r="AG257" s="40"/>
      <c r="AH257" s="40"/>
      <c r="AI257" s="40"/>
    </row>
    <row r="258" ht="39.0" customHeight="1">
      <c r="A258" s="36" t="s">
        <v>321</v>
      </c>
      <c r="B258" s="35" t="s">
        <v>1276</v>
      </c>
      <c r="C258" s="35" t="s">
        <v>1277</v>
      </c>
      <c r="D258" s="35" t="s">
        <v>1278</v>
      </c>
      <c r="E258" s="36" t="s">
        <v>371</v>
      </c>
      <c r="F258" s="36" t="s">
        <v>372</v>
      </c>
      <c r="G258" s="36" t="s">
        <v>1089</v>
      </c>
      <c r="H258" s="38" t="s">
        <v>1117</v>
      </c>
      <c r="I258" s="38" t="s">
        <v>1204</v>
      </c>
      <c r="J258" s="38" t="s">
        <v>1676</v>
      </c>
      <c r="K258" s="38"/>
      <c r="L258" s="42"/>
      <c r="M258" s="42"/>
      <c r="N258" s="42"/>
      <c r="O258" s="39">
        <f t="shared" si="39"/>
        <v>0</v>
      </c>
      <c r="P258" s="38" t="s">
        <v>1098</v>
      </c>
      <c r="Q258" s="38"/>
      <c r="R258" s="37" t="s">
        <v>1677</v>
      </c>
      <c r="S258" s="38" t="s">
        <v>1105</v>
      </c>
      <c r="T258" s="36" t="s">
        <v>1112</v>
      </c>
      <c r="U258" s="36" t="str">
        <f t="shared" si="41"/>
        <v>Not Included</v>
      </c>
      <c r="V258" s="37"/>
      <c r="W258" s="37"/>
    </row>
    <row r="259" ht="15.75" customHeight="1">
      <c r="A259" s="36" t="s">
        <v>321</v>
      </c>
      <c r="B259" s="35" t="s">
        <v>1276</v>
      </c>
      <c r="C259" s="35" t="s">
        <v>1277</v>
      </c>
      <c r="D259" s="35" t="s">
        <v>1278</v>
      </c>
      <c r="E259" s="79" t="s">
        <v>1678</v>
      </c>
      <c r="F259" s="79" t="s">
        <v>1678</v>
      </c>
      <c r="G259" s="36" t="s">
        <v>1089</v>
      </c>
      <c r="H259" s="37" t="s">
        <v>1117</v>
      </c>
      <c r="I259" s="37" t="s">
        <v>1679</v>
      </c>
      <c r="J259" s="38"/>
      <c r="K259" s="38"/>
      <c r="L259" s="39"/>
      <c r="M259" s="39"/>
      <c r="N259" s="39"/>
      <c r="O259" s="39">
        <f t="shared" si="39"/>
        <v>0</v>
      </c>
      <c r="P259" s="38" t="s">
        <v>1098</v>
      </c>
      <c r="Q259" s="38"/>
      <c r="R259" s="36" t="s">
        <v>1092</v>
      </c>
      <c r="S259" s="36" t="s">
        <v>1105</v>
      </c>
      <c r="T259" s="36" t="s">
        <v>1112</v>
      </c>
      <c r="U259" s="36" t="str">
        <f t="shared" si="41"/>
        <v>Not Included</v>
      </c>
      <c r="V259" s="36"/>
      <c r="W259" s="37"/>
      <c r="X259" s="40"/>
      <c r="Y259" s="40"/>
      <c r="Z259" s="40"/>
      <c r="AA259" s="40"/>
      <c r="AB259" s="40"/>
      <c r="AC259" s="40"/>
      <c r="AD259" s="40"/>
      <c r="AE259" s="40"/>
      <c r="AF259" s="40"/>
      <c r="AG259" s="40"/>
      <c r="AH259" s="40"/>
      <c r="AI259" s="40"/>
    </row>
    <row r="260" ht="53.25" customHeight="1">
      <c r="A260" s="36" t="s">
        <v>321</v>
      </c>
      <c r="B260" s="35" t="s">
        <v>1276</v>
      </c>
      <c r="C260" s="35" t="s">
        <v>1277</v>
      </c>
      <c r="D260" s="35" t="s">
        <v>1278</v>
      </c>
      <c r="E260" s="36" t="s">
        <v>367</v>
      </c>
      <c r="F260" s="36" t="s">
        <v>367</v>
      </c>
      <c r="G260" s="36" t="str">
        <f t="shared" ref="G260:G263" si="42">IF(J260&lt;&gt;"CARB", "yes", "CARB")</f>
        <v>yes</v>
      </c>
      <c r="H260" s="38" t="s">
        <v>162</v>
      </c>
      <c r="I260" s="38" t="s">
        <v>1680</v>
      </c>
      <c r="J260" s="38"/>
      <c r="K260" s="38"/>
      <c r="L260" s="42"/>
      <c r="M260" s="42"/>
      <c r="N260" s="42"/>
      <c r="O260" s="39">
        <f t="shared" si="39"/>
        <v>0</v>
      </c>
      <c r="P260" s="38" t="s">
        <v>1098</v>
      </c>
      <c r="Q260" s="38"/>
      <c r="R260" s="37" t="s">
        <v>1092</v>
      </c>
      <c r="S260" s="38" t="s">
        <v>1100</v>
      </c>
      <c r="T260" s="38" t="s">
        <v>1112</v>
      </c>
      <c r="U260" s="36" t="str">
        <f t="shared" si="41"/>
        <v>Not Included</v>
      </c>
      <c r="V260" s="38" t="s">
        <v>1681</v>
      </c>
      <c r="W260" s="38" t="s">
        <v>1284</v>
      </c>
    </row>
    <row r="261" ht="69.0" customHeight="1">
      <c r="A261" s="36" t="s">
        <v>321</v>
      </c>
      <c r="B261" s="35" t="s">
        <v>1276</v>
      </c>
      <c r="C261" s="35" t="s">
        <v>1277</v>
      </c>
      <c r="D261" s="35" t="s">
        <v>1278</v>
      </c>
      <c r="E261" s="79" t="s">
        <v>1682</v>
      </c>
      <c r="F261" s="37"/>
      <c r="G261" s="36" t="str">
        <f t="shared" si="42"/>
        <v>yes</v>
      </c>
      <c r="H261" s="37" t="s">
        <v>162</v>
      </c>
      <c r="I261" s="37" t="s">
        <v>1418</v>
      </c>
      <c r="J261" s="37" t="s">
        <v>1683</v>
      </c>
      <c r="K261" s="38"/>
      <c r="L261" s="39"/>
      <c r="M261" s="39"/>
      <c r="N261" s="39"/>
      <c r="O261" s="39">
        <f t="shared" si="39"/>
        <v>0</v>
      </c>
      <c r="P261" s="38" t="s">
        <v>1098</v>
      </c>
      <c r="Q261" s="38"/>
      <c r="R261" s="37" t="s">
        <v>1092</v>
      </c>
      <c r="S261" s="36" t="s">
        <v>1105</v>
      </c>
      <c r="T261" s="38" t="s">
        <v>1112</v>
      </c>
      <c r="U261" s="36" t="str">
        <f t="shared" si="41"/>
        <v>Not Included</v>
      </c>
      <c r="V261" s="36"/>
      <c r="W261" s="37"/>
      <c r="X261" s="40"/>
      <c r="Y261" s="40"/>
      <c r="Z261" s="40"/>
      <c r="AA261" s="40"/>
      <c r="AB261" s="40"/>
      <c r="AC261" s="40"/>
      <c r="AD261" s="40"/>
      <c r="AE261" s="40"/>
      <c r="AF261" s="40"/>
      <c r="AG261" s="40"/>
      <c r="AH261" s="40"/>
      <c r="AI261" s="40"/>
    </row>
    <row r="262" ht="15.75" customHeight="1">
      <c r="A262" s="36" t="s">
        <v>321</v>
      </c>
      <c r="B262" s="35" t="s">
        <v>1276</v>
      </c>
      <c r="C262" s="35" t="s">
        <v>1277</v>
      </c>
      <c r="D262" s="35" t="s">
        <v>1278</v>
      </c>
      <c r="E262" s="79" t="s">
        <v>1684</v>
      </c>
      <c r="F262" s="37"/>
      <c r="G262" s="36" t="str">
        <f t="shared" si="42"/>
        <v>yes</v>
      </c>
      <c r="H262" s="38" t="s">
        <v>162</v>
      </c>
      <c r="I262" s="38" t="s">
        <v>1685</v>
      </c>
      <c r="J262" s="38"/>
      <c r="K262" s="38"/>
      <c r="L262" s="39"/>
      <c r="M262" s="39"/>
      <c r="N262" s="39"/>
      <c r="O262" s="39">
        <f t="shared" si="39"/>
        <v>0</v>
      </c>
      <c r="P262" s="38" t="s">
        <v>1098</v>
      </c>
      <c r="Q262" s="38"/>
      <c r="R262" s="37" t="s">
        <v>1092</v>
      </c>
      <c r="S262" s="36" t="s">
        <v>1105</v>
      </c>
      <c r="T262" s="38" t="s">
        <v>1112</v>
      </c>
      <c r="U262" s="36" t="str">
        <f t="shared" si="41"/>
        <v>Not Included</v>
      </c>
      <c r="V262" s="36"/>
      <c r="W262" s="37"/>
      <c r="X262" s="40"/>
      <c r="Y262" s="40"/>
      <c r="Z262" s="40"/>
      <c r="AA262" s="40"/>
      <c r="AB262" s="40"/>
      <c r="AC262" s="40"/>
      <c r="AD262" s="40"/>
      <c r="AE262" s="40"/>
      <c r="AF262" s="40"/>
      <c r="AG262" s="40"/>
      <c r="AH262" s="40"/>
      <c r="AI262" s="40"/>
    </row>
    <row r="263" ht="15.75" customHeight="1">
      <c r="A263" s="36" t="s">
        <v>321</v>
      </c>
      <c r="B263" s="35" t="s">
        <v>1276</v>
      </c>
      <c r="C263" s="35" t="s">
        <v>1277</v>
      </c>
      <c r="D263" s="35" t="s">
        <v>1278</v>
      </c>
      <c r="E263" s="79" t="s">
        <v>1686</v>
      </c>
      <c r="F263" s="37"/>
      <c r="G263" s="36" t="str">
        <f t="shared" si="42"/>
        <v>yes</v>
      </c>
      <c r="H263" s="37" t="s">
        <v>162</v>
      </c>
      <c r="I263" s="37" t="s">
        <v>1122</v>
      </c>
      <c r="J263" s="38"/>
      <c r="K263" s="38"/>
      <c r="L263" s="39"/>
      <c r="M263" s="39"/>
      <c r="N263" s="39"/>
      <c r="O263" s="39">
        <f t="shared" si="39"/>
        <v>0</v>
      </c>
      <c r="P263" s="38" t="s">
        <v>1098</v>
      </c>
      <c r="Q263" s="38"/>
      <c r="R263" s="37" t="s">
        <v>1092</v>
      </c>
      <c r="S263" s="36" t="s">
        <v>1105</v>
      </c>
      <c r="T263" s="38" t="s">
        <v>1112</v>
      </c>
      <c r="U263" s="36" t="str">
        <f t="shared" si="41"/>
        <v>Not Included</v>
      </c>
      <c r="V263" s="36"/>
      <c r="W263" s="37"/>
      <c r="X263" s="40"/>
      <c r="Y263" s="40"/>
      <c r="Z263" s="40"/>
      <c r="AA263" s="40"/>
      <c r="AB263" s="40"/>
      <c r="AC263" s="40"/>
      <c r="AD263" s="40"/>
      <c r="AE263" s="40"/>
      <c r="AF263" s="40"/>
      <c r="AG263" s="40"/>
      <c r="AH263" s="40"/>
      <c r="AI263" s="40"/>
    </row>
    <row r="264" ht="15.75" customHeight="1">
      <c r="A264" s="36" t="s">
        <v>321</v>
      </c>
      <c r="B264" s="35" t="s">
        <v>1276</v>
      </c>
      <c r="C264" s="35" t="s">
        <v>1277</v>
      </c>
      <c r="D264" s="35" t="s">
        <v>1278</v>
      </c>
      <c r="E264" s="79" t="s">
        <v>1687</v>
      </c>
      <c r="F264" s="37"/>
      <c r="G264" s="36" t="s">
        <v>1089</v>
      </c>
      <c r="H264" s="38" t="s">
        <v>153</v>
      </c>
      <c r="I264" s="38" t="s">
        <v>1174</v>
      </c>
      <c r="J264" s="38" t="s">
        <v>1688</v>
      </c>
      <c r="K264" s="38"/>
      <c r="L264" s="39"/>
      <c r="M264" s="39">
        <v>2794400.0</v>
      </c>
      <c r="N264" s="39">
        <v>0.0</v>
      </c>
      <c r="O264" s="39">
        <f t="shared" si="39"/>
        <v>2794400</v>
      </c>
      <c r="P264" s="36">
        <f t="shared" ref="P264:P265" si="43">IF(AND((M264+N264)&gt;0,L264=0),1,IF(AND((M264+N264)=0,L264=0),0,(M264+N264)/L264))</f>
        <v>1</v>
      </c>
      <c r="Q264" s="36"/>
      <c r="R264" s="36" t="s">
        <v>1246</v>
      </c>
      <c r="S264" s="36" t="s">
        <v>1093</v>
      </c>
      <c r="T264" s="38" t="s">
        <v>1094</v>
      </c>
      <c r="U264" s="36" t="str">
        <f t="shared" si="41"/>
        <v>1. Easy</v>
      </c>
      <c r="V264" s="36" t="s">
        <v>1689</v>
      </c>
      <c r="W264" s="36" t="s">
        <v>1307</v>
      </c>
      <c r="X264" s="40"/>
      <c r="Y264" s="40"/>
      <c r="Z264" s="40"/>
      <c r="AA264" s="40"/>
      <c r="AB264" s="40"/>
      <c r="AC264" s="40"/>
      <c r="AD264" s="40"/>
      <c r="AE264" s="40"/>
      <c r="AF264" s="40"/>
      <c r="AG264" s="40"/>
      <c r="AH264" s="40"/>
      <c r="AI264" s="40"/>
    </row>
    <row r="265" ht="46.5" customHeight="1">
      <c r="A265" s="36" t="s">
        <v>321</v>
      </c>
      <c r="B265" s="35" t="s">
        <v>1276</v>
      </c>
      <c r="C265" s="35" t="s">
        <v>1277</v>
      </c>
      <c r="D265" s="35" t="s">
        <v>1278</v>
      </c>
      <c r="E265" s="79" t="s">
        <v>1687</v>
      </c>
      <c r="F265" s="37"/>
      <c r="G265" s="36" t="s">
        <v>1089</v>
      </c>
      <c r="H265" s="38" t="s">
        <v>153</v>
      </c>
      <c r="I265" s="38" t="s">
        <v>1174</v>
      </c>
      <c r="J265" s="38" t="s">
        <v>1690</v>
      </c>
      <c r="K265" s="38">
        <v>0.0</v>
      </c>
      <c r="L265" s="42">
        <v>0.0</v>
      </c>
      <c r="M265" s="80">
        <f>10031447.93-N265</f>
        <v>113666</v>
      </c>
      <c r="N265" s="42">
        <f>8615155+975600+327026.93</f>
        <v>9917781.93</v>
      </c>
      <c r="O265" s="39">
        <f t="shared" si="39"/>
        <v>10031447.93</v>
      </c>
      <c r="P265" s="36">
        <f t="shared" si="43"/>
        <v>1</v>
      </c>
      <c r="Q265" s="36"/>
      <c r="R265" s="36" t="s">
        <v>1246</v>
      </c>
      <c r="S265" s="36" t="s">
        <v>1093</v>
      </c>
      <c r="T265" s="38" t="s">
        <v>1094</v>
      </c>
      <c r="U265" s="36" t="str">
        <f t="shared" si="41"/>
        <v>1. Easy</v>
      </c>
      <c r="V265" s="36"/>
      <c r="W265" s="37" t="s">
        <v>1691</v>
      </c>
      <c r="X265" s="40"/>
      <c r="Y265" s="40"/>
      <c r="Z265" s="40"/>
      <c r="AA265" s="40"/>
      <c r="AB265" s="40"/>
      <c r="AC265" s="40"/>
      <c r="AD265" s="40"/>
      <c r="AE265" s="40"/>
      <c r="AF265" s="40"/>
      <c r="AG265" s="40"/>
      <c r="AH265" s="40"/>
      <c r="AI265" s="40"/>
    </row>
    <row r="266" ht="15.75" customHeight="1">
      <c r="A266" s="36" t="s">
        <v>321</v>
      </c>
      <c r="B266" s="35" t="s">
        <v>1276</v>
      </c>
      <c r="C266" s="35" t="s">
        <v>1277</v>
      </c>
      <c r="D266" s="35" t="s">
        <v>1278</v>
      </c>
      <c r="E266" s="36" t="s">
        <v>363</v>
      </c>
      <c r="F266" s="36" t="s">
        <v>364</v>
      </c>
      <c r="G266" s="36" t="s">
        <v>1089</v>
      </c>
      <c r="H266" s="37" t="s">
        <v>153</v>
      </c>
      <c r="I266" s="37" t="s">
        <v>1250</v>
      </c>
      <c r="J266" s="42" t="s">
        <v>1692</v>
      </c>
      <c r="K266" s="42">
        <v>0.0</v>
      </c>
      <c r="L266" s="42">
        <v>0.0</v>
      </c>
      <c r="M266" s="42"/>
      <c r="N266" s="42">
        <v>688358.0</v>
      </c>
      <c r="O266" s="39">
        <f t="shared" si="39"/>
        <v>688358</v>
      </c>
      <c r="P266" s="36">
        <v>1.0</v>
      </c>
      <c r="Q266" s="36"/>
      <c r="R266" s="37" t="s">
        <v>1243</v>
      </c>
      <c r="S266" s="38" t="s">
        <v>1093</v>
      </c>
      <c r="T266" s="38" t="s">
        <v>1094</v>
      </c>
      <c r="U266" s="36" t="str">
        <f t="shared" si="41"/>
        <v>1. Easy</v>
      </c>
      <c r="V266" s="38" t="s">
        <v>1693</v>
      </c>
      <c r="W266" s="38" t="s">
        <v>1694</v>
      </c>
      <c r="X266" s="50"/>
      <c r="Y266" s="50"/>
      <c r="Z266" s="50"/>
      <c r="AA266" s="50"/>
      <c r="AB266" s="50"/>
      <c r="AC266" s="50"/>
      <c r="AD266" s="50"/>
      <c r="AE266" s="50"/>
      <c r="AF266" s="50"/>
      <c r="AG266" s="50"/>
      <c r="AH266" s="50"/>
    </row>
    <row r="267" ht="15.75" customHeight="1">
      <c r="A267" s="36" t="s">
        <v>396</v>
      </c>
      <c r="B267" s="36" t="s">
        <v>1509</v>
      </c>
      <c r="C267" s="35" t="s">
        <v>1510</v>
      </c>
      <c r="D267" s="35" t="s">
        <v>1256</v>
      </c>
      <c r="E267" s="36" t="s">
        <v>447</v>
      </c>
      <c r="F267" s="36" t="s">
        <v>448</v>
      </c>
      <c r="G267" s="36" t="s">
        <v>1089</v>
      </c>
      <c r="H267" s="38" t="s">
        <v>1257</v>
      </c>
      <c r="I267" s="38" t="s">
        <v>1265</v>
      </c>
      <c r="J267" s="38" t="s">
        <v>1695</v>
      </c>
      <c r="K267" s="38"/>
      <c r="L267" s="42">
        <v>850000.0</v>
      </c>
      <c r="M267" s="42">
        <f>268738-N267</f>
        <v>100000</v>
      </c>
      <c r="N267" s="42">
        <v>168738.0</v>
      </c>
      <c r="O267" s="39">
        <f t="shared" si="39"/>
        <v>268738</v>
      </c>
      <c r="P267" s="36">
        <f>IF(AND((M267+N267)&gt;0,L267=0),"1",IF(AND((M267+N267)=0,L267=0),0,(M267+N267)/L267))</f>
        <v>0.3161623529</v>
      </c>
      <c r="Q267" s="36"/>
      <c r="R267" s="38" t="s">
        <v>1092</v>
      </c>
      <c r="S267" s="38" t="s">
        <v>1105</v>
      </c>
      <c r="T267" s="36" t="s">
        <v>1112</v>
      </c>
      <c r="U267" s="36" t="str">
        <f t="shared" si="41"/>
        <v>3. Difficult</v>
      </c>
      <c r="V267" s="38" t="s">
        <v>1696</v>
      </c>
      <c r="W267" s="38" t="s">
        <v>1612</v>
      </c>
    </row>
    <row r="268" ht="15.75" customHeight="1">
      <c r="A268" s="36" t="s">
        <v>187</v>
      </c>
      <c r="B268" s="36" t="s">
        <v>1697</v>
      </c>
      <c r="C268" s="35" t="s">
        <v>1698</v>
      </c>
      <c r="D268" s="35" t="s">
        <v>1256</v>
      </c>
      <c r="E268" s="36" t="s">
        <v>1699</v>
      </c>
      <c r="F268" s="36" t="s">
        <v>1699</v>
      </c>
      <c r="G268" s="36" t="s">
        <v>1089</v>
      </c>
      <c r="H268" s="38" t="s">
        <v>1257</v>
      </c>
      <c r="I268" s="38" t="s">
        <v>1265</v>
      </c>
      <c r="J268" s="38" t="s">
        <v>1700</v>
      </c>
      <c r="K268" s="38"/>
      <c r="L268" s="42">
        <v>0.0</v>
      </c>
      <c r="M268" s="42">
        <v>1434935.0</v>
      </c>
      <c r="N268" s="42">
        <v>1015250.0</v>
      </c>
      <c r="O268" s="39">
        <f t="shared" si="39"/>
        <v>2450185</v>
      </c>
      <c r="P268" s="36">
        <v>1.0</v>
      </c>
      <c r="Q268" s="36" t="s">
        <v>1259</v>
      </c>
      <c r="R268" s="36" t="s">
        <v>1092</v>
      </c>
      <c r="S268" s="38" t="s">
        <v>1105</v>
      </c>
      <c r="T268" s="36" t="s">
        <v>1112</v>
      </c>
      <c r="U268" s="36" t="str">
        <f t="shared" si="41"/>
        <v>1. Easy</v>
      </c>
      <c r="V268" s="38" t="s">
        <v>1701</v>
      </c>
      <c r="W268" s="36" t="s">
        <v>1268</v>
      </c>
    </row>
    <row r="269" ht="15.75" customHeight="1">
      <c r="A269" s="35" t="s">
        <v>187</v>
      </c>
      <c r="B269" s="36" t="s">
        <v>1697</v>
      </c>
      <c r="C269" s="35" t="s">
        <v>1698</v>
      </c>
      <c r="D269" s="35" t="s">
        <v>1256</v>
      </c>
      <c r="E269" s="35" t="s">
        <v>1702</v>
      </c>
      <c r="F269" s="35" t="s">
        <v>1703</v>
      </c>
      <c r="G269" s="36" t="s">
        <v>1089</v>
      </c>
      <c r="H269" s="38" t="s">
        <v>1257</v>
      </c>
      <c r="I269" s="38" t="s">
        <v>1258</v>
      </c>
      <c r="J269" s="38" t="s">
        <v>1285</v>
      </c>
      <c r="K269" s="38"/>
      <c r="L269" s="42">
        <v>2000000.0</v>
      </c>
      <c r="M269" s="42">
        <f>1998569.2 - 1668510.2</f>
        <v>330059</v>
      </c>
      <c r="N269" s="42">
        <v>1668510.2</v>
      </c>
      <c r="O269" s="39">
        <f t="shared" si="39"/>
        <v>1998569.2</v>
      </c>
      <c r="P269" s="36">
        <f>IF(AND((M269+N269)&gt;0,L269=0),"1",IF(AND((M269+N269)=0,L269=0),0,(M269+N269)/L269))</f>
        <v>0.9992846</v>
      </c>
      <c r="Q269" s="36"/>
      <c r="R269" s="38" t="s">
        <v>1092</v>
      </c>
      <c r="S269" s="38" t="s">
        <v>1105</v>
      </c>
      <c r="T269" s="36" t="s">
        <v>1112</v>
      </c>
      <c r="U269" s="36" t="str">
        <f t="shared" si="41"/>
        <v>1. Easy</v>
      </c>
      <c r="V269" s="37"/>
      <c r="W269" s="38" t="s">
        <v>1307</v>
      </c>
      <c r="AI269" s="23"/>
    </row>
    <row r="270" ht="15.75" customHeight="1">
      <c r="A270" s="36" t="s">
        <v>321</v>
      </c>
      <c r="B270" s="35" t="s">
        <v>1276</v>
      </c>
      <c r="C270" s="35" t="s">
        <v>1277</v>
      </c>
      <c r="D270" s="35" t="s">
        <v>1278</v>
      </c>
      <c r="E270" s="36" t="s">
        <v>347</v>
      </c>
      <c r="F270" s="36" t="s">
        <v>348</v>
      </c>
      <c r="G270" s="36" t="s">
        <v>1089</v>
      </c>
      <c r="H270" s="38" t="s">
        <v>52</v>
      </c>
      <c r="I270" s="38" t="s">
        <v>1285</v>
      </c>
      <c r="J270" s="38"/>
      <c r="K270" s="57"/>
      <c r="L270" s="42">
        <v>0.0</v>
      </c>
      <c r="M270" s="42"/>
      <c r="N270" s="42">
        <v>0.0</v>
      </c>
      <c r="O270" s="39">
        <f t="shared" si="39"/>
        <v>0</v>
      </c>
      <c r="P270" s="36">
        <f>IF(AND((M270+N270)&gt;0,L270=0),"No Funding Goal",IF(AND((M270+N270)=0,L270=0),0,(M270+N270)/L270))</f>
        <v>0</v>
      </c>
      <c r="Q270" s="36"/>
      <c r="R270" s="38" t="s">
        <v>1092</v>
      </c>
      <c r="S270" s="38" t="s">
        <v>1093</v>
      </c>
      <c r="T270" s="38" t="s">
        <v>1286</v>
      </c>
      <c r="U270" s="36" t="str">
        <f t="shared" si="41"/>
        <v>3. Difficult</v>
      </c>
      <c r="V270" s="36" t="s">
        <v>1704</v>
      </c>
      <c r="W270" s="36" t="s">
        <v>1705</v>
      </c>
      <c r="X270" s="68"/>
      <c r="Y270" s="68"/>
      <c r="Z270" s="68"/>
      <c r="AA270" s="68"/>
    </row>
    <row r="271" ht="15.75" customHeight="1">
      <c r="A271" s="36" t="s">
        <v>321</v>
      </c>
      <c r="B271" s="35" t="s">
        <v>1276</v>
      </c>
      <c r="C271" s="35" t="s">
        <v>1277</v>
      </c>
      <c r="D271" s="35" t="s">
        <v>1278</v>
      </c>
      <c r="E271" s="36" t="s">
        <v>337</v>
      </c>
      <c r="F271" s="36" t="s">
        <v>338</v>
      </c>
      <c r="G271" s="36" t="s">
        <v>1089</v>
      </c>
      <c r="H271" s="36" t="s">
        <v>1090</v>
      </c>
      <c r="I271" s="74" t="s">
        <v>1312</v>
      </c>
      <c r="J271" s="38"/>
      <c r="K271" s="39"/>
      <c r="L271" s="39"/>
      <c r="M271" s="39"/>
      <c r="N271" s="39">
        <v>59999.0</v>
      </c>
      <c r="O271" s="39">
        <f t="shared" si="39"/>
        <v>59999</v>
      </c>
      <c r="P271" s="36">
        <v>1.0</v>
      </c>
      <c r="Q271" s="36"/>
      <c r="R271" s="36" t="s">
        <v>1092</v>
      </c>
      <c r="S271" s="38" t="s">
        <v>1093</v>
      </c>
      <c r="T271" s="38" t="s">
        <v>1094</v>
      </c>
      <c r="U271" s="36" t="str">
        <f t="shared" si="41"/>
        <v>1. Easy</v>
      </c>
      <c r="V271" s="8"/>
      <c r="W271" s="38" t="s">
        <v>1706</v>
      </c>
      <c r="X271" s="45"/>
      <c r="Y271" s="45"/>
      <c r="Z271" s="45"/>
      <c r="AA271" s="40"/>
      <c r="AB271" s="40"/>
      <c r="AC271" s="40"/>
      <c r="AD271" s="40"/>
      <c r="AE271" s="40"/>
      <c r="AF271" s="40"/>
      <c r="AG271" s="40"/>
      <c r="AH271" s="40"/>
      <c r="AI271" s="40"/>
    </row>
    <row r="272" ht="15.75" customHeight="1">
      <c r="A272" s="36" t="s">
        <v>321</v>
      </c>
      <c r="B272" s="35" t="s">
        <v>1276</v>
      </c>
      <c r="C272" s="35" t="s">
        <v>1277</v>
      </c>
      <c r="D272" s="35" t="s">
        <v>1278</v>
      </c>
      <c r="E272" s="79" t="s">
        <v>1707</v>
      </c>
      <c r="F272" s="37"/>
      <c r="G272" s="36" t="s">
        <v>1089</v>
      </c>
      <c r="H272" s="38" t="s">
        <v>1314</v>
      </c>
      <c r="I272" s="38" t="s">
        <v>646</v>
      </c>
      <c r="J272" s="38" t="s">
        <v>1514</v>
      </c>
      <c r="K272" s="57"/>
      <c r="L272" s="42"/>
      <c r="M272" s="42"/>
      <c r="N272" s="42"/>
      <c r="O272" s="39">
        <f t="shared" si="39"/>
        <v>0</v>
      </c>
      <c r="P272" s="36" t="s">
        <v>1098</v>
      </c>
      <c r="Q272" s="36"/>
      <c r="R272" s="36" t="s">
        <v>1092</v>
      </c>
      <c r="S272" s="38" t="s">
        <v>1105</v>
      </c>
      <c r="T272" s="36" t="s">
        <v>1112</v>
      </c>
      <c r="U272" s="36" t="str">
        <f t="shared" si="41"/>
        <v>Not Included</v>
      </c>
      <c r="V272" s="38"/>
      <c r="W272" s="38"/>
      <c r="X272" s="48"/>
      <c r="Y272" s="48"/>
      <c r="Z272" s="48"/>
      <c r="AA272" s="48"/>
      <c r="AB272" s="48"/>
      <c r="AC272" s="48"/>
      <c r="AD272" s="48"/>
      <c r="AE272" s="48"/>
      <c r="AF272" s="48"/>
      <c r="AG272" s="48"/>
      <c r="AH272" s="48"/>
      <c r="AI272" s="48"/>
    </row>
    <row r="273" ht="70.5" customHeight="1">
      <c r="A273" s="36" t="s">
        <v>321</v>
      </c>
      <c r="B273" s="35" t="s">
        <v>1276</v>
      </c>
      <c r="C273" s="35" t="s">
        <v>1277</v>
      </c>
      <c r="D273" s="35" t="s">
        <v>1278</v>
      </c>
      <c r="E273" s="79" t="s">
        <v>1708</v>
      </c>
      <c r="F273" s="37"/>
      <c r="G273" s="36" t="s">
        <v>1089</v>
      </c>
      <c r="H273" s="38" t="s">
        <v>1314</v>
      </c>
      <c r="I273" s="38" t="s">
        <v>646</v>
      </c>
      <c r="J273" s="37" t="s">
        <v>1709</v>
      </c>
      <c r="K273" s="38"/>
      <c r="L273" s="39"/>
      <c r="M273" s="39"/>
      <c r="N273" s="39"/>
      <c r="O273" s="39">
        <f t="shared" si="39"/>
        <v>0</v>
      </c>
      <c r="P273" s="36" t="s">
        <v>1098</v>
      </c>
      <c r="Q273" s="36"/>
      <c r="R273" s="36" t="s">
        <v>1710</v>
      </c>
      <c r="S273" s="36" t="s">
        <v>1105</v>
      </c>
      <c r="T273" s="38" t="s">
        <v>1112</v>
      </c>
      <c r="U273" s="36" t="str">
        <f t="shared" si="41"/>
        <v>Not Included</v>
      </c>
      <c r="V273" s="36"/>
      <c r="W273" s="37"/>
      <c r="X273" s="40"/>
      <c r="Y273" s="40"/>
      <c r="Z273" s="40"/>
      <c r="AA273" s="40"/>
      <c r="AB273" s="40"/>
      <c r="AC273" s="40"/>
      <c r="AD273" s="40"/>
      <c r="AE273" s="40"/>
      <c r="AF273" s="40"/>
      <c r="AG273" s="40"/>
      <c r="AH273" s="40"/>
      <c r="AI273" s="40"/>
    </row>
    <row r="274" ht="15.75" customHeight="1">
      <c r="A274" s="36" t="s">
        <v>321</v>
      </c>
      <c r="B274" s="35" t="s">
        <v>1276</v>
      </c>
      <c r="C274" s="35" t="s">
        <v>1277</v>
      </c>
      <c r="D274" s="35" t="s">
        <v>1278</v>
      </c>
      <c r="E274" s="79" t="s">
        <v>1711</v>
      </c>
      <c r="F274" s="37"/>
      <c r="G274" s="36" t="s">
        <v>1089</v>
      </c>
      <c r="H274" s="38" t="s">
        <v>1314</v>
      </c>
      <c r="I274" s="38" t="s">
        <v>646</v>
      </c>
      <c r="J274" s="38" t="s">
        <v>1514</v>
      </c>
      <c r="K274" s="38"/>
      <c r="L274" s="39"/>
      <c r="M274" s="39"/>
      <c r="N274" s="39"/>
      <c r="O274" s="39">
        <f t="shared" si="39"/>
        <v>0</v>
      </c>
      <c r="P274" s="36" t="s">
        <v>1098</v>
      </c>
      <c r="Q274" s="36"/>
      <c r="R274" s="36" t="s">
        <v>1092</v>
      </c>
      <c r="S274" s="36" t="s">
        <v>1105</v>
      </c>
      <c r="T274" s="38" t="s">
        <v>1112</v>
      </c>
      <c r="U274" s="36" t="str">
        <f t="shared" si="41"/>
        <v>Not Included</v>
      </c>
      <c r="V274" s="36" t="s">
        <v>1712</v>
      </c>
      <c r="W274" s="37"/>
      <c r="X274" s="40"/>
      <c r="Y274" s="40"/>
      <c r="Z274" s="40"/>
      <c r="AA274" s="40"/>
      <c r="AB274" s="40"/>
      <c r="AC274" s="40"/>
      <c r="AD274" s="40"/>
      <c r="AE274" s="40"/>
      <c r="AF274" s="40"/>
      <c r="AG274" s="40"/>
      <c r="AH274" s="40"/>
      <c r="AI274" s="40"/>
    </row>
    <row r="275" ht="56.25" customHeight="1">
      <c r="A275" s="36" t="s">
        <v>321</v>
      </c>
      <c r="B275" s="35" t="s">
        <v>1276</v>
      </c>
      <c r="C275" s="35" t="s">
        <v>1277</v>
      </c>
      <c r="D275" s="35" t="s">
        <v>1278</v>
      </c>
      <c r="E275" s="36" t="s">
        <v>323</v>
      </c>
      <c r="F275" s="36" t="s">
        <v>323</v>
      </c>
      <c r="G275" s="36" t="s">
        <v>1089</v>
      </c>
      <c r="H275" s="38" t="s">
        <v>1314</v>
      </c>
      <c r="I275" s="38" t="s">
        <v>1713</v>
      </c>
      <c r="J275" s="38" t="s">
        <v>1714</v>
      </c>
      <c r="K275" s="38"/>
      <c r="L275" s="42"/>
      <c r="M275" s="42"/>
      <c r="N275" s="42"/>
      <c r="O275" s="39">
        <f t="shared" si="39"/>
        <v>0</v>
      </c>
      <c r="P275" s="36" t="s">
        <v>1098</v>
      </c>
      <c r="Q275" s="36"/>
      <c r="R275" s="38" t="s">
        <v>1246</v>
      </c>
      <c r="S275" s="38" t="s">
        <v>1105</v>
      </c>
      <c r="T275" s="38" t="s">
        <v>1094</v>
      </c>
      <c r="U275" s="36" t="str">
        <f t="shared" si="41"/>
        <v>Not Included</v>
      </c>
      <c r="V275" s="38" t="s">
        <v>1715</v>
      </c>
      <c r="W275" s="38" t="s">
        <v>1284</v>
      </c>
      <c r="AI275" s="50"/>
    </row>
    <row r="276" ht="50.25" customHeight="1">
      <c r="A276" s="36" t="s">
        <v>321</v>
      </c>
      <c r="B276" s="35" t="s">
        <v>1276</v>
      </c>
      <c r="C276" s="35" t="s">
        <v>1277</v>
      </c>
      <c r="D276" s="35" t="s">
        <v>1278</v>
      </c>
      <c r="E276" s="36" t="s">
        <v>378</v>
      </c>
      <c r="F276" s="36" t="s">
        <v>379</v>
      </c>
      <c r="G276" s="36" t="s">
        <v>1089</v>
      </c>
      <c r="H276" s="37" t="s">
        <v>1097</v>
      </c>
      <c r="I276" s="37" t="s">
        <v>1366</v>
      </c>
      <c r="J276" s="38" t="s">
        <v>1337</v>
      </c>
      <c r="K276" s="38"/>
      <c r="L276" s="42"/>
      <c r="M276" s="42"/>
      <c r="N276" s="42"/>
      <c r="O276" s="39">
        <f t="shared" si="39"/>
        <v>0</v>
      </c>
      <c r="P276" s="38" t="s">
        <v>1098</v>
      </c>
      <c r="Q276" s="38"/>
      <c r="R276" s="37"/>
      <c r="S276" s="38" t="s">
        <v>1105</v>
      </c>
      <c r="T276" s="38" t="s">
        <v>1112</v>
      </c>
      <c r="U276" s="36" t="str">
        <f t="shared" si="41"/>
        <v>Not Included</v>
      </c>
      <c r="V276" s="37" t="s">
        <v>1716</v>
      </c>
      <c r="W276" s="37" t="s">
        <v>1284</v>
      </c>
    </row>
    <row r="277" ht="61.5" customHeight="1">
      <c r="A277" s="36" t="s">
        <v>321</v>
      </c>
      <c r="B277" s="35" t="s">
        <v>1276</v>
      </c>
      <c r="C277" s="35" t="s">
        <v>1277</v>
      </c>
      <c r="D277" s="35" t="s">
        <v>1278</v>
      </c>
      <c r="E277" s="79" t="s">
        <v>1717</v>
      </c>
      <c r="F277" s="37"/>
      <c r="G277" s="36" t="s">
        <v>1089</v>
      </c>
      <c r="H277" s="37" t="s">
        <v>1097</v>
      </c>
      <c r="I277" s="37" t="s">
        <v>1718</v>
      </c>
      <c r="J277" s="38"/>
      <c r="K277" s="38"/>
      <c r="L277" s="39"/>
      <c r="M277" s="39"/>
      <c r="N277" s="39"/>
      <c r="O277" s="39">
        <f t="shared" si="39"/>
        <v>0</v>
      </c>
      <c r="P277" s="38" t="s">
        <v>1098</v>
      </c>
      <c r="Q277" s="38"/>
      <c r="R277" s="37" t="s">
        <v>1092</v>
      </c>
      <c r="S277" s="36" t="s">
        <v>1105</v>
      </c>
      <c r="T277" s="38" t="s">
        <v>1112</v>
      </c>
      <c r="U277" s="36" t="str">
        <f t="shared" si="41"/>
        <v>Not Included</v>
      </c>
      <c r="V277" s="36"/>
      <c r="W277" s="37"/>
      <c r="X277" s="40"/>
      <c r="Y277" s="40"/>
      <c r="Z277" s="40"/>
      <c r="AA277" s="40"/>
      <c r="AB277" s="40"/>
      <c r="AC277" s="40"/>
      <c r="AD277" s="40"/>
      <c r="AE277" s="40"/>
      <c r="AF277" s="40"/>
      <c r="AG277" s="40"/>
      <c r="AH277" s="40"/>
      <c r="AI277" s="40"/>
    </row>
    <row r="278" ht="72.0" customHeight="1">
      <c r="A278" s="36" t="s">
        <v>321</v>
      </c>
      <c r="B278" s="35" t="s">
        <v>1276</v>
      </c>
      <c r="C278" s="35" t="s">
        <v>1277</v>
      </c>
      <c r="D278" s="35" t="s">
        <v>1278</v>
      </c>
      <c r="E278" s="79" t="s">
        <v>1719</v>
      </c>
      <c r="F278" s="37"/>
      <c r="G278" s="36" t="s">
        <v>1089</v>
      </c>
      <c r="H278" s="37" t="s">
        <v>1097</v>
      </c>
      <c r="I278" s="37" t="s">
        <v>1720</v>
      </c>
      <c r="J278" s="38"/>
      <c r="K278" s="38"/>
      <c r="L278" s="39"/>
      <c r="M278" s="39"/>
      <c r="N278" s="39"/>
      <c r="O278" s="39">
        <f t="shared" si="39"/>
        <v>0</v>
      </c>
      <c r="P278" s="38" t="s">
        <v>1098</v>
      </c>
      <c r="Q278" s="38"/>
      <c r="R278" s="36" t="s">
        <v>1246</v>
      </c>
      <c r="S278" s="36" t="s">
        <v>1105</v>
      </c>
      <c r="T278" s="38" t="s">
        <v>1112</v>
      </c>
      <c r="U278" s="36" t="str">
        <f t="shared" si="41"/>
        <v>Not Included</v>
      </c>
      <c r="V278" s="36"/>
      <c r="W278" s="37"/>
      <c r="X278" s="40"/>
      <c r="Y278" s="40"/>
      <c r="Z278" s="40"/>
      <c r="AA278" s="40"/>
      <c r="AB278" s="40"/>
      <c r="AC278" s="40"/>
      <c r="AD278" s="40"/>
      <c r="AE278" s="40"/>
      <c r="AF278" s="40"/>
      <c r="AG278" s="40"/>
      <c r="AH278" s="40"/>
      <c r="AI278" s="40"/>
    </row>
    <row r="279" ht="15.75" customHeight="1">
      <c r="A279" s="36" t="s">
        <v>321</v>
      </c>
      <c r="B279" s="35" t="s">
        <v>1276</v>
      </c>
      <c r="C279" s="35" t="s">
        <v>1277</v>
      </c>
      <c r="D279" s="35" t="s">
        <v>1278</v>
      </c>
      <c r="E279" s="36" t="s">
        <v>343</v>
      </c>
      <c r="F279" s="36" t="s">
        <v>344</v>
      </c>
      <c r="G279" s="36" t="s">
        <v>1089</v>
      </c>
      <c r="H279" s="37" t="s">
        <v>1129</v>
      </c>
      <c r="I279" s="37" t="s">
        <v>1331</v>
      </c>
      <c r="J279" s="38"/>
      <c r="K279" s="38"/>
      <c r="L279" s="42"/>
      <c r="M279" s="42"/>
      <c r="N279" s="42"/>
      <c r="O279" s="39">
        <f t="shared" si="39"/>
        <v>0</v>
      </c>
      <c r="P279" s="38" t="s">
        <v>1098</v>
      </c>
      <c r="Q279" s="38"/>
      <c r="R279" s="37" t="s">
        <v>1092</v>
      </c>
      <c r="S279" s="38" t="s">
        <v>1105</v>
      </c>
      <c r="T279" s="38" t="s">
        <v>1112</v>
      </c>
      <c r="U279" s="36" t="str">
        <f t="shared" si="41"/>
        <v>Not Included</v>
      </c>
      <c r="V279" s="38" t="s">
        <v>1721</v>
      </c>
      <c r="W279" s="38" t="s">
        <v>1284</v>
      </c>
    </row>
    <row r="280" ht="15.75" customHeight="1">
      <c r="A280" s="35" t="s">
        <v>321</v>
      </c>
      <c r="B280" s="35" t="s">
        <v>1276</v>
      </c>
      <c r="C280" s="35" t="s">
        <v>1277</v>
      </c>
      <c r="D280" s="35" t="s">
        <v>1278</v>
      </c>
      <c r="E280" s="79" t="s">
        <v>1722</v>
      </c>
      <c r="F280" s="79" t="s">
        <v>1722</v>
      </c>
      <c r="G280" s="36" t="s">
        <v>1116</v>
      </c>
      <c r="H280" s="37" t="s">
        <v>1117</v>
      </c>
      <c r="I280" s="37" t="s">
        <v>1723</v>
      </c>
      <c r="J280" s="38"/>
      <c r="K280" s="38"/>
      <c r="L280" s="39"/>
      <c r="M280" s="39"/>
      <c r="N280" s="39"/>
      <c r="O280" s="39"/>
      <c r="P280" s="38" t="s">
        <v>1098</v>
      </c>
      <c r="Q280" s="39"/>
      <c r="R280" s="36"/>
      <c r="S280" s="36" t="s">
        <v>1105</v>
      </c>
      <c r="T280" s="36" t="s">
        <v>1106</v>
      </c>
      <c r="U280" s="38" t="s">
        <v>1433</v>
      </c>
      <c r="V280" s="36"/>
      <c r="W280" s="37"/>
      <c r="X280" s="40"/>
      <c r="Y280" s="40"/>
      <c r="Z280" s="40"/>
      <c r="AA280" s="40"/>
      <c r="AB280" s="40"/>
      <c r="AC280" s="40"/>
      <c r="AD280" s="40"/>
      <c r="AE280" s="40"/>
      <c r="AF280" s="40"/>
      <c r="AG280" s="40"/>
      <c r="AH280" s="40"/>
      <c r="AI280" s="40"/>
    </row>
    <row r="281" ht="15.75" customHeight="1">
      <c r="A281" s="35" t="s">
        <v>321</v>
      </c>
      <c r="B281" s="35" t="s">
        <v>1276</v>
      </c>
      <c r="C281" s="35" t="s">
        <v>1277</v>
      </c>
      <c r="D281" s="35" t="s">
        <v>1278</v>
      </c>
      <c r="E281" s="79" t="s">
        <v>1724</v>
      </c>
      <c r="F281" s="79" t="s">
        <v>1724</v>
      </c>
      <c r="G281" s="36" t="s">
        <v>1116</v>
      </c>
      <c r="H281" s="37" t="s">
        <v>1117</v>
      </c>
      <c r="I281" s="37" t="s">
        <v>1725</v>
      </c>
      <c r="J281" s="38"/>
      <c r="K281" s="38"/>
      <c r="L281" s="39"/>
      <c r="M281" s="39"/>
      <c r="N281" s="39"/>
      <c r="O281" s="39"/>
      <c r="P281" s="38" t="s">
        <v>1098</v>
      </c>
      <c r="Q281" s="39"/>
      <c r="R281" s="36"/>
      <c r="S281" s="36" t="s">
        <v>1105</v>
      </c>
      <c r="T281" s="36" t="s">
        <v>1106</v>
      </c>
      <c r="U281" s="38" t="s">
        <v>1433</v>
      </c>
      <c r="V281" s="36"/>
      <c r="W281" s="37"/>
      <c r="X281" s="40"/>
      <c r="Y281" s="40"/>
      <c r="Z281" s="40"/>
      <c r="AA281" s="40"/>
      <c r="AB281" s="40"/>
      <c r="AC281" s="40"/>
      <c r="AD281" s="40"/>
      <c r="AE281" s="40"/>
      <c r="AF281" s="40"/>
      <c r="AG281" s="40"/>
      <c r="AH281" s="40"/>
      <c r="AI281" s="40"/>
    </row>
    <row r="282" ht="15.75" customHeight="1">
      <c r="A282" s="35" t="s">
        <v>321</v>
      </c>
      <c r="B282" s="35" t="s">
        <v>1276</v>
      </c>
      <c r="C282" s="35" t="s">
        <v>1277</v>
      </c>
      <c r="D282" s="35" t="s">
        <v>1278</v>
      </c>
      <c r="E282" s="79" t="s">
        <v>1726</v>
      </c>
      <c r="F282" s="37"/>
      <c r="G282" s="36" t="str">
        <f t="shared" ref="G282:G285" si="44">IF(J282&lt;&gt;"CARB", "yes", "CARB")</f>
        <v>CARB</v>
      </c>
      <c r="H282" s="37" t="s">
        <v>162</v>
      </c>
      <c r="I282" s="37" t="s">
        <v>1727</v>
      </c>
      <c r="J282" s="38" t="s">
        <v>1116</v>
      </c>
      <c r="K282" s="38"/>
      <c r="L282" s="39"/>
      <c r="M282" s="39"/>
      <c r="N282" s="39"/>
      <c r="O282" s="39"/>
      <c r="P282" s="38" t="s">
        <v>1098</v>
      </c>
      <c r="Q282" s="39"/>
      <c r="R282" s="36"/>
      <c r="S282" s="36" t="s">
        <v>1105</v>
      </c>
      <c r="T282" s="38" t="s">
        <v>1112</v>
      </c>
      <c r="U282" s="38" t="s">
        <v>1728</v>
      </c>
      <c r="V282" s="36"/>
      <c r="W282" s="37"/>
      <c r="X282" s="40"/>
      <c r="Y282" s="40"/>
      <c r="Z282" s="40"/>
      <c r="AA282" s="40"/>
      <c r="AB282" s="40"/>
      <c r="AC282" s="40"/>
      <c r="AD282" s="40"/>
      <c r="AE282" s="40"/>
      <c r="AF282" s="40"/>
      <c r="AG282" s="40"/>
      <c r="AH282" s="40"/>
      <c r="AI282" s="40"/>
    </row>
    <row r="283" ht="15.75" customHeight="1">
      <c r="A283" s="35" t="s">
        <v>321</v>
      </c>
      <c r="B283" s="35" t="s">
        <v>1276</v>
      </c>
      <c r="C283" s="35" t="s">
        <v>1277</v>
      </c>
      <c r="D283" s="35" t="s">
        <v>1278</v>
      </c>
      <c r="E283" s="79" t="s">
        <v>1729</v>
      </c>
      <c r="F283" s="37"/>
      <c r="G283" s="36" t="str">
        <f t="shared" si="44"/>
        <v>CARB</v>
      </c>
      <c r="H283" s="38" t="s">
        <v>162</v>
      </c>
      <c r="I283" s="38" t="s">
        <v>1481</v>
      </c>
      <c r="J283" s="38" t="s">
        <v>1116</v>
      </c>
      <c r="K283" s="38"/>
      <c r="L283" s="39"/>
      <c r="M283" s="39"/>
      <c r="N283" s="39"/>
      <c r="O283" s="39"/>
      <c r="P283" s="38" t="s">
        <v>1098</v>
      </c>
      <c r="Q283" s="39"/>
      <c r="R283" s="36"/>
      <c r="S283" s="36" t="s">
        <v>1105</v>
      </c>
      <c r="T283" s="38" t="s">
        <v>1112</v>
      </c>
      <c r="U283" s="38" t="s">
        <v>1433</v>
      </c>
      <c r="V283" s="36"/>
      <c r="W283" s="37"/>
      <c r="X283" s="40"/>
      <c r="Y283" s="40"/>
      <c r="Z283" s="40"/>
      <c r="AA283" s="40"/>
      <c r="AB283" s="40"/>
      <c r="AC283" s="40"/>
      <c r="AD283" s="40"/>
      <c r="AE283" s="40"/>
      <c r="AF283" s="40"/>
      <c r="AG283" s="40"/>
      <c r="AH283" s="40"/>
      <c r="AI283" s="40"/>
    </row>
    <row r="284" ht="15.75" customHeight="1">
      <c r="A284" s="35" t="s">
        <v>321</v>
      </c>
      <c r="B284" s="35" t="s">
        <v>1276</v>
      </c>
      <c r="C284" s="35" t="s">
        <v>1277</v>
      </c>
      <c r="D284" s="35" t="s">
        <v>1278</v>
      </c>
      <c r="E284" s="79" t="s">
        <v>1730</v>
      </c>
      <c r="F284" s="37"/>
      <c r="G284" s="36" t="str">
        <f t="shared" si="44"/>
        <v>CARB</v>
      </c>
      <c r="H284" s="37" t="s">
        <v>162</v>
      </c>
      <c r="I284" s="37" t="s">
        <v>1127</v>
      </c>
      <c r="J284" s="38" t="s">
        <v>1116</v>
      </c>
      <c r="K284" s="38"/>
      <c r="L284" s="39"/>
      <c r="M284" s="39"/>
      <c r="N284" s="39"/>
      <c r="O284" s="38"/>
      <c r="P284" s="38" t="s">
        <v>1098</v>
      </c>
      <c r="Q284" s="38"/>
      <c r="R284" s="36"/>
      <c r="S284" s="36" t="s">
        <v>1100</v>
      </c>
      <c r="T284" s="38" t="s">
        <v>1112</v>
      </c>
      <c r="U284" s="36" t="str">
        <f>IFS(
    P284="No Funding Goal","Not Included",
    P284="Not Applicable","Not Included",
    P284&gt;=0.75,"1. Easy",
    AND(P284&lt;0.75,P284&gt;=0.5),"2. Moderate",
    P284&lt;0.5,"3. Difficult"
)</f>
        <v>Not Included</v>
      </c>
      <c r="V284" s="36"/>
      <c r="W284" s="37"/>
      <c r="X284" s="40"/>
      <c r="Y284" s="40"/>
      <c r="Z284" s="40"/>
      <c r="AA284" s="40"/>
      <c r="AB284" s="40"/>
      <c r="AC284" s="40"/>
      <c r="AD284" s="40"/>
      <c r="AE284" s="40"/>
      <c r="AF284" s="40"/>
      <c r="AG284" s="40"/>
      <c r="AH284" s="40"/>
      <c r="AI284" s="40"/>
    </row>
    <row r="285" ht="15.75" customHeight="1">
      <c r="A285" s="35" t="s">
        <v>321</v>
      </c>
      <c r="B285" s="35" t="s">
        <v>1276</v>
      </c>
      <c r="C285" s="35" t="s">
        <v>1277</v>
      </c>
      <c r="D285" s="35" t="s">
        <v>1278</v>
      </c>
      <c r="E285" s="79" t="s">
        <v>1731</v>
      </c>
      <c r="F285" s="37"/>
      <c r="G285" s="36" t="str">
        <f t="shared" si="44"/>
        <v>CARB</v>
      </c>
      <c r="H285" s="37" t="s">
        <v>162</v>
      </c>
      <c r="I285" s="37" t="s">
        <v>1732</v>
      </c>
      <c r="J285" s="38" t="s">
        <v>1116</v>
      </c>
      <c r="K285" s="38"/>
      <c r="L285" s="39"/>
      <c r="M285" s="39"/>
      <c r="N285" s="39"/>
      <c r="O285" s="39"/>
      <c r="P285" s="38" t="s">
        <v>1098</v>
      </c>
      <c r="Q285" s="39"/>
      <c r="R285" s="36"/>
      <c r="S285" s="36" t="s">
        <v>1105</v>
      </c>
      <c r="T285" s="38" t="s">
        <v>1112</v>
      </c>
      <c r="U285" s="38" t="s">
        <v>1433</v>
      </c>
      <c r="V285" s="36"/>
      <c r="W285" s="37"/>
      <c r="X285" s="40"/>
      <c r="Y285" s="40"/>
      <c r="Z285" s="40"/>
      <c r="AA285" s="40"/>
      <c r="AB285" s="40"/>
      <c r="AC285" s="40"/>
      <c r="AD285" s="40"/>
      <c r="AE285" s="40"/>
      <c r="AF285" s="40"/>
      <c r="AG285" s="40"/>
      <c r="AH285" s="40"/>
      <c r="AI285" s="40"/>
    </row>
    <row r="286" ht="15.75" customHeight="1">
      <c r="A286" s="36" t="s">
        <v>321</v>
      </c>
      <c r="B286" s="35" t="s">
        <v>1276</v>
      </c>
      <c r="C286" s="35" t="s">
        <v>1277</v>
      </c>
      <c r="D286" s="35" t="s">
        <v>1278</v>
      </c>
      <c r="E286" s="36" t="s">
        <v>712</v>
      </c>
      <c r="F286" s="36" t="s">
        <v>713</v>
      </c>
      <c r="G286" s="36" t="s">
        <v>1116</v>
      </c>
      <c r="H286" s="37" t="s">
        <v>1139</v>
      </c>
      <c r="I286" s="37"/>
      <c r="J286" s="38"/>
      <c r="K286" s="38"/>
      <c r="L286" s="38"/>
      <c r="M286" s="38"/>
      <c r="N286" s="38"/>
      <c r="O286" s="38"/>
      <c r="P286" s="38" t="s">
        <v>1098</v>
      </c>
      <c r="Q286" s="38"/>
      <c r="R286" s="37"/>
      <c r="S286" s="38"/>
      <c r="T286" s="38"/>
      <c r="U286" s="38"/>
      <c r="V286" s="37"/>
      <c r="W286" s="37"/>
      <c r="AI286" s="50"/>
    </row>
    <row r="287" ht="75.75" customHeight="1">
      <c r="A287" s="36" t="s">
        <v>321</v>
      </c>
      <c r="B287" s="35" t="s">
        <v>1276</v>
      </c>
      <c r="C287" s="35" t="s">
        <v>1277</v>
      </c>
      <c r="D287" s="35" t="s">
        <v>1278</v>
      </c>
      <c r="E287" s="36" t="s">
        <v>974</v>
      </c>
      <c r="F287" s="36" t="s">
        <v>975</v>
      </c>
      <c r="G287" s="36" t="s">
        <v>1116</v>
      </c>
      <c r="H287" s="38" t="s">
        <v>1139</v>
      </c>
      <c r="I287" s="38" t="s">
        <v>1140</v>
      </c>
      <c r="J287" s="38"/>
      <c r="K287" s="38"/>
      <c r="L287" s="38"/>
      <c r="M287" s="38"/>
      <c r="N287" s="38"/>
      <c r="O287" s="38"/>
      <c r="P287" s="38" t="s">
        <v>1098</v>
      </c>
      <c r="Q287" s="38"/>
      <c r="R287" s="37"/>
      <c r="S287" s="38"/>
      <c r="T287" s="38"/>
      <c r="U287" s="38"/>
      <c r="V287" s="37"/>
      <c r="W287" s="37"/>
    </row>
    <row r="288" ht="15.75" customHeight="1">
      <c r="A288" s="36" t="s">
        <v>321</v>
      </c>
      <c r="B288" s="35" t="s">
        <v>1276</v>
      </c>
      <c r="C288" s="35" t="s">
        <v>1277</v>
      </c>
      <c r="D288" s="35" t="s">
        <v>1278</v>
      </c>
      <c r="E288" s="36" t="s">
        <v>731</v>
      </c>
      <c r="F288" s="36" t="s">
        <v>955</v>
      </c>
      <c r="G288" s="36" t="s">
        <v>1116</v>
      </c>
      <c r="H288" s="37" t="s">
        <v>1139</v>
      </c>
      <c r="I288" s="37" t="s">
        <v>1217</v>
      </c>
      <c r="J288" s="38"/>
      <c r="K288" s="38"/>
      <c r="L288" s="38"/>
      <c r="M288" s="38"/>
      <c r="N288" s="38"/>
      <c r="O288" s="38"/>
      <c r="P288" s="38" t="s">
        <v>1098</v>
      </c>
      <c r="Q288" s="38"/>
      <c r="R288" s="37"/>
      <c r="S288" s="38"/>
      <c r="T288" s="38"/>
      <c r="U288" s="38"/>
      <c r="V288" s="37"/>
      <c r="W288" s="37"/>
    </row>
    <row r="289" ht="15.75" customHeight="1">
      <c r="A289" s="35" t="s">
        <v>321</v>
      </c>
      <c r="B289" s="35" t="s">
        <v>1276</v>
      </c>
      <c r="C289" s="35" t="s">
        <v>1277</v>
      </c>
      <c r="D289" s="35" t="s">
        <v>1278</v>
      </c>
      <c r="E289" s="79" t="s">
        <v>1733</v>
      </c>
      <c r="F289" s="37"/>
      <c r="G289" s="37" t="s">
        <v>1116</v>
      </c>
      <c r="H289" s="38" t="s">
        <v>1139</v>
      </c>
      <c r="I289" s="38"/>
      <c r="J289" s="38"/>
      <c r="K289" s="57"/>
      <c r="L289" s="57"/>
      <c r="M289" s="57"/>
      <c r="N289" s="57"/>
      <c r="O289" s="42"/>
      <c r="P289" s="38" t="s">
        <v>1098</v>
      </c>
      <c r="Q289" s="42"/>
      <c r="R289" s="38"/>
      <c r="S289" s="38"/>
      <c r="T289" s="38"/>
      <c r="U289" s="38"/>
      <c r="V289" s="38"/>
      <c r="W289" s="38"/>
      <c r="X289" s="48"/>
      <c r="Y289" s="48"/>
      <c r="Z289" s="48"/>
      <c r="AA289" s="48"/>
      <c r="AB289" s="48"/>
      <c r="AC289" s="48"/>
      <c r="AD289" s="48"/>
      <c r="AE289" s="48"/>
      <c r="AF289" s="48"/>
      <c r="AG289" s="48"/>
      <c r="AH289" s="48"/>
      <c r="AI289" s="48"/>
    </row>
    <row r="290" ht="15.75" customHeight="1">
      <c r="A290" s="35" t="s">
        <v>321</v>
      </c>
      <c r="B290" s="35" t="s">
        <v>1276</v>
      </c>
      <c r="C290" s="35" t="s">
        <v>1277</v>
      </c>
      <c r="D290" s="35" t="s">
        <v>1278</v>
      </c>
      <c r="E290" s="79" t="s">
        <v>1734</v>
      </c>
      <c r="F290" s="37"/>
      <c r="G290" s="36" t="s">
        <v>1089</v>
      </c>
      <c r="H290" s="38" t="s">
        <v>1533</v>
      </c>
      <c r="I290" s="38"/>
      <c r="J290" s="38"/>
      <c r="K290" s="57"/>
      <c r="L290" s="42"/>
      <c r="M290" s="42"/>
      <c r="N290" s="42"/>
      <c r="O290" s="39">
        <f>M290+N290</f>
        <v>0</v>
      </c>
      <c r="P290" s="38" t="s">
        <v>1098</v>
      </c>
      <c r="Q290" s="38"/>
      <c r="R290" s="36" t="s">
        <v>1092</v>
      </c>
      <c r="S290" s="36" t="s">
        <v>1100</v>
      </c>
      <c r="T290" s="38" t="s">
        <v>1112</v>
      </c>
      <c r="U290" s="36" t="str">
        <f>IFS(
    P290="No Funding Goal","Not Included",
    P290="Not Applicable","Not Included",
    P290&gt;=0.75,"1. Easy",
    AND(P290&lt;0.75,P290&gt;=0.5),"2. Moderate",
    P290&lt;0.5,"3. Difficult"
)</f>
        <v>Not Included</v>
      </c>
      <c r="V290" s="38"/>
      <c r="W290" s="38"/>
      <c r="X290" s="48"/>
      <c r="Y290" s="48"/>
      <c r="Z290" s="48"/>
      <c r="AA290" s="48"/>
      <c r="AB290" s="48"/>
      <c r="AC290" s="48"/>
      <c r="AD290" s="48"/>
      <c r="AE290" s="48"/>
      <c r="AF290" s="48"/>
      <c r="AG290" s="48"/>
      <c r="AH290" s="48"/>
      <c r="AI290" s="48"/>
    </row>
    <row r="291" ht="15.75" customHeight="1">
      <c r="A291" s="35" t="s">
        <v>321</v>
      </c>
      <c r="B291" s="35" t="s">
        <v>1276</v>
      </c>
      <c r="C291" s="35" t="s">
        <v>1277</v>
      </c>
      <c r="D291" s="35" t="s">
        <v>1278</v>
      </c>
      <c r="E291" s="79" t="s">
        <v>1735</v>
      </c>
      <c r="F291" s="37"/>
      <c r="G291" s="37" t="s">
        <v>1116</v>
      </c>
      <c r="H291" s="38" t="s">
        <v>1139</v>
      </c>
      <c r="I291" s="38"/>
      <c r="J291" s="38"/>
      <c r="K291" s="57"/>
      <c r="L291" s="57"/>
      <c r="M291" s="57"/>
      <c r="N291" s="57"/>
      <c r="O291" s="42"/>
      <c r="P291" s="38" t="s">
        <v>1098</v>
      </c>
      <c r="Q291" s="42"/>
      <c r="R291" s="38"/>
      <c r="S291" s="38"/>
      <c r="T291" s="38"/>
      <c r="U291" s="38"/>
      <c r="V291" s="38"/>
      <c r="W291" s="38"/>
      <c r="X291" s="48"/>
      <c r="Y291" s="48"/>
      <c r="Z291" s="48"/>
      <c r="AA291" s="48"/>
      <c r="AB291" s="48"/>
      <c r="AC291" s="48"/>
      <c r="AD291" s="48"/>
      <c r="AE291" s="48"/>
      <c r="AF291" s="48"/>
      <c r="AG291" s="48"/>
      <c r="AH291" s="48"/>
      <c r="AI291" s="48"/>
    </row>
    <row r="292" ht="15.75" customHeight="1">
      <c r="A292" s="41" t="s">
        <v>321</v>
      </c>
      <c r="B292" s="35" t="s">
        <v>1276</v>
      </c>
      <c r="C292" s="35" t="s">
        <v>1277</v>
      </c>
      <c r="D292" s="35" t="s">
        <v>1278</v>
      </c>
      <c r="E292" s="79" t="s">
        <v>1736</v>
      </c>
      <c r="F292" s="37"/>
      <c r="G292" s="37" t="s">
        <v>1116</v>
      </c>
      <c r="H292" s="38" t="s">
        <v>1139</v>
      </c>
      <c r="I292" s="38"/>
      <c r="J292" s="38"/>
      <c r="K292" s="57"/>
      <c r="L292" s="57"/>
      <c r="M292" s="57"/>
      <c r="N292" s="57"/>
      <c r="O292" s="42"/>
      <c r="P292" s="38" t="s">
        <v>1098</v>
      </c>
      <c r="Q292" s="42"/>
      <c r="R292" s="38"/>
      <c r="S292" s="38"/>
      <c r="T292" s="38"/>
      <c r="U292" s="38"/>
      <c r="V292" s="38"/>
      <c r="W292" s="38"/>
      <c r="X292" s="48"/>
      <c r="Y292" s="48"/>
      <c r="Z292" s="48"/>
      <c r="AA292" s="48"/>
      <c r="AB292" s="48"/>
      <c r="AC292" s="48"/>
      <c r="AD292" s="48"/>
      <c r="AE292" s="48"/>
      <c r="AF292" s="48"/>
      <c r="AG292" s="48"/>
      <c r="AH292" s="48"/>
      <c r="AI292" s="48"/>
    </row>
    <row r="293" ht="15.75" customHeight="1">
      <c r="A293" s="36" t="s">
        <v>321</v>
      </c>
      <c r="B293" s="35" t="s">
        <v>1276</v>
      </c>
      <c r="C293" s="35" t="s">
        <v>1277</v>
      </c>
      <c r="D293" s="35" t="s">
        <v>1278</v>
      </c>
      <c r="E293" s="36" t="s">
        <v>329</v>
      </c>
      <c r="F293" s="36" t="s">
        <v>329</v>
      </c>
      <c r="G293" s="37" t="s">
        <v>1139</v>
      </c>
      <c r="H293" s="37" t="s">
        <v>1139</v>
      </c>
      <c r="I293" s="37" t="s">
        <v>1737</v>
      </c>
      <c r="J293" s="38"/>
      <c r="K293" s="38"/>
      <c r="L293" s="38"/>
      <c r="M293" s="38"/>
      <c r="N293" s="38"/>
      <c r="O293" s="38"/>
      <c r="P293" s="38" t="s">
        <v>1098</v>
      </c>
      <c r="Q293" s="38"/>
      <c r="R293" s="37"/>
      <c r="S293" s="38"/>
      <c r="T293" s="38"/>
      <c r="U293" s="38"/>
      <c r="V293" s="37"/>
      <c r="W293" s="37"/>
      <c r="AI293" s="9"/>
    </row>
    <row r="294" ht="15.75" customHeight="1">
      <c r="A294" s="36" t="s">
        <v>321</v>
      </c>
      <c r="B294" s="35" t="s">
        <v>1276</v>
      </c>
      <c r="C294" s="35" t="s">
        <v>1277</v>
      </c>
      <c r="D294" s="35" t="s">
        <v>1278</v>
      </c>
      <c r="E294" s="79" t="s">
        <v>1738</v>
      </c>
      <c r="F294" s="37"/>
      <c r="G294" s="38" t="s">
        <v>1139</v>
      </c>
      <c r="H294" s="38" t="s">
        <v>1139</v>
      </c>
      <c r="I294" s="38"/>
      <c r="J294" s="38"/>
      <c r="K294" s="57"/>
      <c r="L294" s="57"/>
      <c r="M294" s="57"/>
      <c r="N294" s="57"/>
      <c r="O294" s="42"/>
      <c r="P294" s="38" t="s">
        <v>1098</v>
      </c>
      <c r="Q294" s="42"/>
      <c r="R294" s="38"/>
      <c r="S294" s="38"/>
      <c r="T294" s="38"/>
      <c r="U294" s="38"/>
      <c r="V294" s="38"/>
      <c r="W294" s="38"/>
      <c r="X294" s="48"/>
      <c r="Y294" s="48"/>
      <c r="Z294" s="48"/>
      <c r="AA294" s="48"/>
      <c r="AB294" s="48"/>
      <c r="AC294" s="48"/>
      <c r="AD294" s="48"/>
      <c r="AE294" s="48"/>
      <c r="AF294" s="48"/>
      <c r="AG294" s="48"/>
      <c r="AH294" s="48"/>
      <c r="AI294" s="48"/>
    </row>
    <row r="295" ht="15.75" customHeight="1">
      <c r="A295" s="36" t="s">
        <v>321</v>
      </c>
      <c r="B295" s="35" t="s">
        <v>1276</v>
      </c>
      <c r="C295" s="35" t="s">
        <v>1277</v>
      </c>
      <c r="D295" s="35" t="s">
        <v>1278</v>
      </c>
      <c r="E295" s="79" t="s">
        <v>1739</v>
      </c>
      <c r="F295" s="37"/>
      <c r="G295" s="38" t="s">
        <v>1139</v>
      </c>
      <c r="H295" s="38" t="s">
        <v>1139</v>
      </c>
      <c r="I295" s="38"/>
      <c r="J295" s="38"/>
      <c r="K295" s="57"/>
      <c r="L295" s="57"/>
      <c r="M295" s="57"/>
      <c r="N295" s="57"/>
      <c r="O295" s="42"/>
      <c r="P295" s="38" t="s">
        <v>1098</v>
      </c>
      <c r="Q295" s="42"/>
      <c r="R295" s="38"/>
      <c r="S295" s="38"/>
      <c r="T295" s="38"/>
      <c r="U295" s="38"/>
      <c r="V295" s="38"/>
      <c r="W295" s="38"/>
      <c r="X295" s="48"/>
      <c r="Y295" s="48"/>
      <c r="Z295" s="48"/>
      <c r="AA295" s="48"/>
      <c r="AB295" s="48"/>
      <c r="AC295" s="48"/>
      <c r="AD295" s="48"/>
      <c r="AE295" s="48"/>
      <c r="AF295" s="48"/>
      <c r="AG295" s="48"/>
      <c r="AH295" s="48"/>
      <c r="AI295" s="48"/>
    </row>
    <row r="296" ht="15.75" customHeight="1">
      <c r="A296" s="36" t="s">
        <v>321</v>
      </c>
      <c r="B296" s="35" t="s">
        <v>1276</v>
      </c>
      <c r="C296" s="35" t="s">
        <v>1277</v>
      </c>
      <c r="D296" s="35" t="s">
        <v>1278</v>
      </c>
      <c r="E296" s="79" t="s">
        <v>1740</v>
      </c>
      <c r="F296" s="37"/>
      <c r="G296" s="38" t="s">
        <v>1139</v>
      </c>
      <c r="H296" s="38" t="s">
        <v>1139</v>
      </c>
      <c r="I296" s="38"/>
      <c r="J296" s="38"/>
      <c r="K296" s="57"/>
      <c r="L296" s="57"/>
      <c r="M296" s="57"/>
      <c r="N296" s="57"/>
      <c r="O296" s="42"/>
      <c r="P296" s="38" t="s">
        <v>1098</v>
      </c>
      <c r="Q296" s="42"/>
      <c r="R296" s="38"/>
      <c r="S296" s="38"/>
      <c r="T296" s="38"/>
      <c r="U296" s="38"/>
      <c r="V296" s="38"/>
      <c r="W296" s="38"/>
      <c r="X296" s="48"/>
      <c r="Y296" s="48"/>
      <c r="Z296" s="48"/>
      <c r="AA296" s="48"/>
      <c r="AB296" s="48"/>
      <c r="AC296" s="48"/>
      <c r="AD296" s="48"/>
      <c r="AE296" s="48"/>
      <c r="AF296" s="48"/>
      <c r="AG296" s="48"/>
      <c r="AH296" s="48"/>
      <c r="AI296" s="48"/>
    </row>
    <row r="297" ht="15.75" customHeight="1">
      <c r="A297" s="36" t="s">
        <v>321</v>
      </c>
      <c r="B297" s="35" t="s">
        <v>1276</v>
      </c>
      <c r="C297" s="35" t="s">
        <v>1277</v>
      </c>
      <c r="D297" s="35" t="s">
        <v>1278</v>
      </c>
      <c r="E297" s="36" t="s">
        <v>352</v>
      </c>
      <c r="F297" s="36" t="s">
        <v>352</v>
      </c>
      <c r="G297" s="36" t="s">
        <v>1089</v>
      </c>
      <c r="H297" s="37" t="s">
        <v>1529</v>
      </c>
      <c r="I297" s="37"/>
      <c r="J297" s="38"/>
      <c r="K297" s="38"/>
      <c r="L297" s="39"/>
      <c r="M297" s="39"/>
      <c r="N297" s="39">
        <f>803000</f>
        <v>803000</v>
      </c>
      <c r="O297" s="39">
        <f t="shared" ref="O297:O323" si="45">M297+N297</f>
        <v>803000</v>
      </c>
      <c r="P297" s="36">
        <v>1.0</v>
      </c>
      <c r="Q297" s="36" t="s">
        <v>1741</v>
      </c>
      <c r="R297" s="36" t="s">
        <v>1570</v>
      </c>
      <c r="S297" s="38" t="s">
        <v>1100</v>
      </c>
      <c r="T297" s="38" t="s">
        <v>1286</v>
      </c>
      <c r="U297" s="36" t="str">
        <f t="shared" ref="U297:U324" si="46">IFS(
    P297="No Funding Goal","Not Included",
    P297="Not Applicable","Not Included",
    P297&gt;=0.75,"1. Easy",
    AND(P297&lt;0.75,P297&gt;=0.5),"2. Moderate",
    P297&lt;0.5,"3. Difficult"
)</f>
        <v>1. Easy</v>
      </c>
      <c r="V297" s="36" t="s">
        <v>1742</v>
      </c>
      <c r="W297" s="36" t="s">
        <v>1743</v>
      </c>
      <c r="X297" s="68"/>
      <c r="Y297" s="68"/>
      <c r="Z297" s="68"/>
      <c r="AA297" s="68"/>
      <c r="AB297" s="68"/>
      <c r="AC297" s="68"/>
      <c r="AD297" s="68"/>
      <c r="AE297" s="68"/>
      <c r="AF297" s="68"/>
      <c r="AG297" s="68"/>
      <c r="AH297" s="68"/>
      <c r="AI297" s="50"/>
    </row>
    <row r="298" ht="15.75" customHeight="1">
      <c r="A298" s="36" t="s">
        <v>321</v>
      </c>
      <c r="B298" s="35" t="s">
        <v>1276</v>
      </c>
      <c r="C298" s="35" t="s">
        <v>1277</v>
      </c>
      <c r="D298" s="35" t="s">
        <v>1278</v>
      </c>
      <c r="E298" s="36" t="s">
        <v>375</v>
      </c>
      <c r="F298" s="36" t="s">
        <v>376</v>
      </c>
      <c r="G298" s="36" t="s">
        <v>1089</v>
      </c>
      <c r="H298" s="37" t="s">
        <v>1369</v>
      </c>
      <c r="I298" s="37" t="s">
        <v>1370</v>
      </c>
      <c r="J298" s="38"/>
      <c r="K298" s="38"/>
      <c r="L298" s="39">
        <v>0.0</v>
      </c>
      <c r="M298" s="39"/>
      <c r="N298" s="39">
        <v>0.0</v>
      </c>
      <c r="O298" s="39">
        <f t="shared" si="45"/>
        <v>0</v>
      </c>
      <c r="P298" s="36">
        <f t="shared" ref="P298:P299" si="47">IF(AND((M298+N298)&gt;0,L298=0),"No Funding Goal",IF(AND((M298+N298)=0,L298=0),0,(M298+N298)/L298))</f>
        <v>0</v>
      </c>
      <c r="Q298" s="36" t="s">
        <v>1741</v>
      </c>
      <c r="R298" s="45" t="s">
        <v>1744</v>
      </c>
      <c r="S298" s="36" t="s">
        <v>1100</v>
      </c>
      <c r="T298" s="36" t="s">
        <v>1112</v>
      </c>
      <c r="U298" s="36" t="str">
        <f t="shared" si="46"/>
        <v>3. Difficult</v>
      </c>
      <c r="V298" s="36" t="s">
        <v>1745</v>
      </c>
      <c r="W298" s="37" t="s">
        <v>1284</v>
      </c>
      <c r="X298" s="40"/>
      <c r="Y298" s="40"/>
      <c r="Z298" s="40"/>
      <c r="AA298" s="40"/>
      <c r="AB298" s="40"/>
      <c r="AC298" s="40"/>
      <c r="AD298" s="40"/>
      <c r="AE298" s="40"/>
      <c r="AF298" s="40"/>
      <c r="AG298" s="40"/>
      <c r="AH298" s="40"/>
      <c r="AI298" s="40"/>
    </row>
    <row r="299" ht="15.75" customHeight="1">
      <c r="A299" s="36" t="s">
        <v>321</v>
      </c>
      <c r="B299" s="35" t="s">
        <v>1276</v>
      </c>
      <c r="C299" s="35" t="s">
        <v>1277</v>
      </c>
      <c r="D299" s="35" t="s">
        <v>1278</v>
      </c>
      <c r="E299" s="36" t="s">
        <v>378</v>
      </c>
      <c r="F299" s="36" t="s">
        <v>382</v>
      </c>
      <c r="G299" s="36" t="s">
        <v>1089</v>
      </c>
      <c r="H299" s="37" t="s">
        <v>1369</v>
      </c>
      <c r="I299" s="37" t="s">
        <v>1337</v>
      </c>
      <c r="J299" s="38"/>
      <c r="K299" s="38"/>
      <c r="L299" s="42"/>
      <c r="M299" s="42"/>
      <c r="N299" s="42">
        <v>0.0</v>
      </c>
      <c r="O299" s="39">
        <f t="shared" si="45"/>
        <v>0</v>
      </c>
      <c r="P299" s="36">
        <f t="shared" si="47"/>
        <v>0</v>
      </c>
      <c r="Q299" s="36" t="s">
        <v>1741</v>
      </c>
      <c r="R299" s="45" t="s">
        <v>1371</v>
      </c>
      <c r="S299" s="38" t="s">
        <v>1100</v>
      </c>
      <c r="T299" s="36" t="s">
        <v>1112</v>
      </c>
      <c r="U299" s="36" t="str">
        <f t="shared" si="46"/>
        <v>3. Difficult</v>
      </c>
      <c r="V299" s="37"/>
      <c r="W299" s="37"/>
    </row>
    <row r="300" ht="15.75" customHeight="1">
      <c r="A300" s="36" t="s">
        <v>321</v>
      </c>
      <c r="B300" s="35" t="s">
        <v>1276</v>
      </c>
      <c r="C300" s="35" t="s">
        <v>1277</v>
      </c>
      <c r="D300" s="35" t="s">
        <v>1278</v>
      </c>
      <c r="E300" s="36" t="s">
        <v>386</v>
      </c>
      <c r="F300" s="36" t="s">
        <v>387</v>
      </c>
      <c r="G300" s="36" t="s">
        <v>1089</v>
      </c>
      <c r="H300" s="38" t="s">
        <v>1157</v>
      </c>
      <c r="I300" s="38" t="s">
        <v>1178</v>
      </c>
      <c r="J300" s="38" t="s">
        <v>1179</v>
      </c>
      <c r="K300" s="38"/>
      <c r="L300" s="42">
        <v>0.0</v>
      </c>
      <c r="M300" s="42">
        <v>0.0</v>
      </c>
      <c r="N300" s="81">
        <v>0.0</v>
      </c>
      <c r="O300" s="39">
        <f t="shared" si="45"/>
        <v>0</v>
      </c>
      <c r="P300" s="36">
        <v>1.0</v>
      </c>
      <c r="Q300" s="36" t="s">
        <v>1741</v>
      </c>
      <c r="R300" s="38" t="s">
        <v>1746</v>
      </c>
      <c r="S300" s="38" t="s">
        <v>1105</v>
      </c>
      <c r="T300" s="38" t="s">
        <v>1112</v>
      </c>
      <c r="U300" s="36" t="str">
        <f t="shared" si="46"/>
        <v>1. Easy</v>
      </c>
      <c r="V300" s="38" t="s">
        <v>1747</v>
      </c>
      <c r="W300" s="38" t="s">
        <v>1307</v>
      </c>
    </row>
    <row r="301" ht="15.75" customHeight="1">
      <c r="A301" s="36" t="s">
        <v>321</v>
      </c>
      <c r="B301" s="35" t="s">
        <v>1276</v>
      </c>
      <c r="C301" s="35" t="s">
        <v>1277</v>
      </c>
      <c r="D301" s="35" t="s">
        <v>1278</v>
      </c>
      <c r="E301" s="36" t="s">
        <v>390</v>
      </c>
      <c r="F301" s="36" t="s">
        <v>391</v>
      </c>
      <c r="G301" s="36" t="s">
        <v>1089</v>
      </c>
      <c r="H301" s="38" t="s">
        <v>1157</v>
      </c>
      <c r="I301" s="38" t="s">
        <v>1178</v>
      </c>
      <c r="J301" s="38" t="s">
        <v>1179</v>
      </c>
      <c r="K301" s="38"/>
      <c r="L301" s="42">
        <v>0.0</v>
      </c>
      <c r="M301" s="42">
        <v>0.0</v>
      </c>
      <c r="N301" s="42">
        <v>0.0</v>
      </c>
      <c r="O301" s="39">
        <f t="shared" si="45"/>
        <v>0</v>
      </c>
      <c r="P301" s="36">
        <v>1.0</v>
      </c>
      <c r="Q301" s="36" t="s">
        <v>1741</v>
      </c>
      <c r="R301" s="38" t="s">
        <v>1746</v>
      </c>
      <c r="S301" s="38" t="s">
        <v>1105</v>
      </c>
      <c r="T301" s="38" t="s">
        <v>1112</v>
      </c>
      <c r="U301" s="36" t="str">
        <f t="shared" si="46"/>
        <v>1. Easy</v>
      </c>
      <c r="V301" s="38" t="s">
        <v>1748</v>
      </c>
      <c r="W301" s="38" t="s">
        <v>1284</v>
      </c>
    </row>
    <row r="302" ht="15.75" customHeight="1">
      <c r="A302" s="36" t="s">
        <v>321</v>
      </c>
      <c r="B302" s="35" t="s">
        <v>1276</v>
      </c>
      <c r="C302" s="35" t="s">
        <v>1277</v>
      </c>
      <c r="D302" s="35" t="s">
        <v>1278</v>
      </c>
      <c r="E302" s="79" t="s">
        <v>1749</v>
      </c>
      <c r="F302" s="37"/>
      <c r="G302" s="36" t="s">
        <v>1089</v>
      </c>
      <c r="H302" s="38" t="s">
        <v>1090</v>
      </c>
      <c r="I302" s="38" t="s">
        <v>1750</v>
      </c>
      <c r="J302" s="38"/>
      <c r="K302" s="57"/>
      <c r="L302" s="42"/>
      <c r="M302" s="42"/>
      <c r="N302" s="42">
        <v>1777918.0</v>
      </c>
      <c r="O302" s="39">
        <f t="shared" si="45"/>
        <v>1777918</v>
      </c>
      <c r="P302" s="36" t="str">
        <f t="shared" ref="P302:P303" si="48">IF(AND((M302+N302)&gt;0,L302=0),"1",IF(AND((M302+N302)=0,L302=0),0,(M302+N302)/L302))</f>
        <v>1</v>
      </c>
      <c r="Q302" s="36" t="s">
        <v>1751</v>
      </c>
      <c r="R302" s="38" t="s">
        <v>1092</v>
      </c>
      <c r="S302" s="38" t="s">
        <v>1093</v>
      </c>
      <c r="T302" s="38" t="s">
        <v>1094</v>
      </c>
      <c r="U302" s="36" t="str">
        <f t="shared" si="46"/>
        <v>1. Easy</v>
      </c>
      <c r="V302" s="38" t="s">
        <v>1752</v>
      </c>
      <c r="W302" s="38"/>
      <c r="X302" s="48"/>
      <c r="Y302" s="48"/>
      <c r="Z302" s="48"/>
      <c r="AA302" s="48"/>
      <c r="AB302" s="48"/>
      <c r="AC302" s="48"/>
      <c r="AD302" s="48"/>
      <c r="AE302" s="48"/>
      <c r="AF302" s="48"/>
      <c r="AG302" s="48"/>
      <c r="AH302" s="48"/>
      <c r="AI302" s="48"/>
    </row>
    <row r="303" ht="15.75" customHeight="1">
      <c r="A303" s="36" t="s">
        <v>321</v>
      </c>
      <c r="B303" s="35" t="s">
        <v>1276</v>
      </c>
      <c r="C303" s="35" t="s">
        <v>1277</v>
      </c>
      <c r="D303" s="35" t="s">
        <v>1278</v>
      </c>
      <c r="E303" s="36" t="s">
        <v>349</v>
      </c>
      <c r="F303" s="36" t="s">
        <v>349</v>
      </c>
      <c r="G303" s="36" t="s">
        <v>1089</v>
      </c>
      <c r="H303" s="37" t="s">
        <v>1430</v>
      </c>
      <c r="I303" s="37"/>
      <c r="J303" s="38"/>
      <c r="K303" s="38"/>
      <c r="L303" s="39"/>
      <c r="M303" s="39">
        <v>2971044.0</v>
      </c>
      <c r="N303" s="39">
        <v>0.0</v>
      </c>
      <c r="O303" s="39">
        <f t="shared" si="45"/>
        <v>2971044</v>
      </c>
      <c r="P303" s="36" t="str">
        <f t="shared" si="48"/>
        <v>1</v>
      </c>
      <c r="Q303" s="36" t="s">
        <v>1751</v>
      </c>
      <c r="R303" s="37" t="s">
        <v>1415</v>
      </c>
      <c r="S303" s="38" t="s">
        <v>1093</v>
      </c>
      <c r="T303" s="38" t="s">
        <v>1112</v>
      </c>
      <c r="U303" s="36" t="str">
        <f t="shared" si="46"/>
        <v>1. Easy</v>
      </c>
      <c r="V303" s="36" t="s">
        <v>1753</v>
      </c>
      <c r="W303" s="37" t="s">
        <v>1284</v>
      </c>
      <c r="X303" s="51"/>
      <c r="Y303" s="51"/>
      <c r="Z303" s="51"/>
      <c r="AA303" s="51"/>
      <c r="AB303" s="51"/>
      <c r="AC303" s="51"/>
      <c r="AD303" s="51"/>
      <c r="AE303" s="51"/>
      <c r="AF303" s="51"/>
      <c r="AG303" s="51"/>
      <c r="AH303" s="51"/>
    </row>
    <row r="304" ht="15.75" customHeight="1">
      <c r="A304" s="35" t="s">
        <v>15</v>
      </c>
      <c r="B304" s="36" t="s">
        <v>1254</v>
      </c>
      <c r="C304" s="35" t="s">
        <v>1255</v>
      </c>
      <c r="D304" s="35" t="s">
        <v>1256</v>
      </c>
      <c r="E304" s="38" t="s">
        <v>1754</v>
      </c>
      <c r="F304" s="38" t="s">
        <v>1754</v>
      </c>
      <c r="G304" s="35" t="s">
        <v>1089</v>
      </c>
      <c r="H304" s="38" t="s">
        <v>1117</v>
      </c>
      <c r="I304" s="38" t="s">
        <v>1755</v>
      </c>
      <c r="J304" s="38"/>
      <c r="K304" s="38"/>
      <c r="L304" s="42"/>
      <c r="M304" s="42"/>
      <c r="N304" s="42"/>
      <c r="O304" s="39">
        <f t="shared" si="45"/>
        <v>0</v>
      </c>
      <c r="P304" s="38" t="s">
        <v>1098</v>
      </c>
      <c r="Q304" s="38"/>
      <c r="R304" s="38" t="s">
        <v>1092</v>
      </c>
      <c r="S304" s="38" t="s">
        <v>1105</v>
      </c>
      <c r="T304" s="36" t="s">
        <v>1112</v>
      </c>
      <c r="U304" s="36" t="str">
        <f t="shared" si="46"/>
        <v>Not Included</v>
      </c>
      <c r="V304" s="82" t="s">
        <v>1756</v>
      </c>
      <c r="W304" s="38" t="s">
        <v>1531</v>
      </c>
    </row>
    <row r="305" ht="15.75" customHeight="1">
      <c r="A305" s="35" t="s">
        <v>15</v>
      </c>
      <c r="B305" s="36" t="s">
        <v>1254</v>
      </c>
      <c r="C305" s="35" t="s">
        <v>1255</v>
      </c>
      <c r="D305" s="35" t="s">
        <v>1256</v>
      </c>
      <c r="E305" s="38" t="s">
        <v>1757</v>
      </c>
      <c r="F305" s="38" t="s">
        <v>1757</v>
      </c>
      <c r="G305" s="35" t="s">
        <v>1089</v>
      </c>
      <c r="H305" s="38" t="s">
        <v>162</v>
      </c>
      <c r="I305" s="38" t="s">
        <v>1136</v>
      </c>
      <c r="J305" s="38"/>
      <c r="K305" s="38"/>
      <c r="L305" s="42"/>
      <c r="M305" s="42"/>
      <c r="N305" s="42"/>
      <c r="O305" s="39">
        <f t="shared" si="45"/>
        <v>0</v>
      </c>
      <c r="P305" s="38" t="s">
        <v>1098</v>
      </c>
      <c r="Q305" s="38"/>
      <c r="R305" s="38" t="s">
        <v>1092</v>
      </c>
      <c r="S305" s="38" t="s">
        <v>1100</v>
      </c>
      <c r="T305" s="38" t="s">
        <v>1112</v>
      </c>
      <c r="U305" s="36" t="str">
        <f t="shared" si="46"/>
        <v>Not Included</v>
      </c>
      <c r="V305" s="82" t="s">
        <v>1758</v>
      </c>
      <c r="W305" s="38" t="s">
        <v>1531</v>
      </c>
    </row>
    <row r="306" ht="15.75" customHeight="1">
      <c r="A306" s="35" t="s">
        <v>15</v>
      </c>
      <c r="B306" s="36" t="s">
        <v>1254</v>
      </c>
      <c r="C306" s="35" t="s">
        <v>1255</v>
      </c>
      <c r="D306" s="35" t="s">
        <v>1256</v>
      </c>
      <c r="E306" s="38" t="s">
        <v>1759</v>
      </c>
      <c r="F306" s="38" t="s">
        <v>1759</v>
      </c>
      <c r="G306" s="36" t="s">
        <v>1089</v>
      </c>
      <c r="H306" s="38" t="s">
        <v>1314</v>
      </c>
      <c r="I306" s="38" t="s">
        <v>646</v>
      </c>
      <c r="J306" s="38" t="s">
        <v>1760</v>
      </c>
      <c r="K306" s="38"/>
      <c r="L306" s="42"/>
      <c r="M306" s="42"/>
      <c r="N306" s="42"/>
      <c r="O306" s="39">
        <f t="shared" si="45"/>
        <v>0</v>
      </c>
      <c r="P306" s="36" t="s">
        <v>1098</v>
      </c>
      <c r="Q306" s="36"/>
      <c r="R306" s="36" t="s">
        <v>1092</v>
      </c>
      <c r="S306" s="38" t="s">
        <v>1105</v>
      </c>
      <c r="T306" s="38" t="s">
        <v>1112</v>
      </c>
      <c r="U306" s="36" t="str">
        <f t="shared" si="46"/>
        <v>Not Included</v>
      </c>
      <c r="V306" s="82" t="s">
        <v>1761</v>
      </c>
      <c r="W306" s="38" t="s">
        <v>1531</v>
      </c>
    </row>
    <row r="307" ht="15.75" customHeight="1">
      <c r="A307" s="35" t="s">
        <v>15</v>
      </c>
      <c r="B307" s="36" t="s">
        <v>1254</v>
      </c>
      <c r="C307" s="35" t="s">
        <v>1255</v>
      </c>
      <c r="D307" s="35" t="s">
        <v>1256</v>
      </c>
      <c r="E307" s="38" t="s">
        <v>1762</v>
      </c>
      <c r="F307" s="38" t="s">
        <v>1762</v>
      </c>
      <c r="G307" s="36" t="s">
        <v>1089</v>
      </c>
      <c r="H307" s="38" t="s">
        <v>1097</v>
      </c>
      <c r="I307" s="38" t="s">
        <v>1763</v>
      </c>
      <c r="J307" s="38"/>
      <c r="K307" s="38"/>
      <c r="L307" s="42"/>
      <c r="M307" s="42"/>
      <c r="N307" s="42"/>
      <c r="O307" s="39">
        <f t="shared" si="45"/>
        <v>0</v>
      </c>
      <c r="P307" s="38" t="s">
        <v>1098</v>
      </c>
      <c r="Q307" s="38"/>
      <c r="R307" s="38" t="s">
        <v>1092</v>
      </c>
      <c r="S307" s="38" t="s">
        <v>1105</v>
      </c>
      <c r="T307" s="38" t="s">
        <v>1112</v>
      </c>
      <c r="U307" s="36" t="str">
        <f t="shared" si="46"/>
        <v>Not Included</v>
      </c>
      <c r="V307" s="82" t="s">
        <v>1764</v>
      </c>
      <c r="W307" s="38" t="s">
        <v>1531</v>
      </c>
    </row>
    <row r="308" ht="15.75" customHeight="1">
      <c r="A308" s="35" t="s">
        <v>15</v>
      </c>
      <c r="B308" s="36" t="s">
        <v>1254</v>
      </c>
      <c r="C308" s="35" t="s">
        <v>1255</v>
      </c>
      <c r="D308" s="35" t="s">
        <v>1256</v>
      </c>
      <c r="E308" s="83" t="s">
        <v>1765</v>
      </c>
      <c r="F308" s="36" t="s">
        <v>1766</v>
      </c>
      <c r="G308" s="36" t="s">
        <v>1089</v>
      </c>
      <c r="H308" s="38" t="s">
        <v>1529</v>
      </c>
      <c r="I308" s="38"/>
      <c r="J308" s="38"/>
      <c r="K308" s="38"/>
      <c r="L308" s="42">
        <v>250000.0</v>
      </c>
      <c r="M308" s="42">
        <v>0.0</v>
      </c>
      <c r="N308" s="42">
        <v>0.0</v>
      </c>
      <c r="O308" s="39">
        <f t="shared" si="45"/>
        <v>0</v>
      </c>
      <c r="P308" s="36">
        <f>IF(AND((M308+N308)&gt;0,L308=0),"No Funding Goal",IF(AND((M308+N308)=0,L308=0),0,(M308+N308)/L308))</f>
        <v>0</v>
      </c>
      <c r="Q308" s="36"/>
      <c r="R308" s="36" t="s">
        <v>1092</v>
      </c>
      <c r="S308" s="38" t="s">
        <v>1100</v>
      </c>
      <c r="T308" s="36" t="s">
        <v>1286</v>
      </c>
      <c r="U308" s="36" t="str">
        <f t="shared" si="46"/>
        <v>3. Difficult</v>
      </c>
      <c r="V308" s="38" t="s">
        <v>1767</v>
      </c>
      <c r="W308" s="38" t="s">
        <v>1612</v>
      </c>
    </row>
    <row r="309" ht="15.75" customHeight="1">
      <c r="A309" s="35" t="s">
        <v>15</v>
      </c>
      <c r="B309" s="36" t="s">
        <v>1254</v>
      </c>
      <c r="C309" s="35" t="s">
        <v>1255</v>
      </c>
      <c r="D309" s="35" t="s">
        <v>1256</v>
      </c>
      <c r="E309" s="38" t="s">
        <v>1768</v>
      </c>
      <c r="F309" s="38" t="s">
        <v>1768</v>
      </c>
      <c r="G309" s="36" t="s">
        <v>1089</v>
      </c>
      <c r="H309" s="38" t="s">
        <v>1533</v>
      </c>
      <c r="I309" s="38" t="s">
        <v>1523</v>
      </c>
      <c r="J309" s="38"/>
      <c r="K309" s="38"/>
      <c r="L309" s="42"/>
      <c r="M309" s="42"/>
      <c r="N309" s="42"/>
      <c r="O309" s="39">
        <f t="shared" si="45"/>
        <v>0</v>
      </c>
      <c r="P309" s="38" t="s">
        <v>1098</v>
      </c>
      <c r="Q309" s="38"/>
      <c r="R309" s="36" t="s">
        <v>1092</v>
      </c>
      <c r="S309" s="38" t="s">
        <v>1100</v>
      </c>
      <c r="T309" s="36" t="s">
        <v>1112</v>
      </c>
      <c r="U309" s="36" t="str">
        <f t="shared" si="46"/>
        <v>Not Included</v>
      </c>
      <c r="V309" s="84" t="s">
        <v>1769</v>
      </c>
      <c r="W309" s="38" t="s">
        <v>1531</v>
      </c>
    </row>
    <row r="310" ht="62.25" customHeight="1">
      <c r="A310" s="36" t="s">
        <v>15</v>
      </c>
      <c r="B310" s="36" t="s">
        <v>1254</v>
      </c>
      <c r="C310" s="35" t="s">
        <v>1255</v>
      </c>
      <c r="D310" s="35" t="s">
        <v>1256</v>
      </c>
      <c r="E310" s="36" t="s">
        <v>69</v>
      </c>
      <c r="F310" s="36" t="s">
        <v>69</v>
      </c>
      <c r="G310" s="35" t="s">
        <v>1089</v>
      </c>
      <c r="H310" s="38" t="s">
        <v>1157</v>
      </c>
      <c r="I310" s="38" t="s">
        <v>1390</v>
      </c>
      <c r="J310" s="38" t="s">
        <v>1770</v>
      </c>
      <c r="K310" s="38"/>
      <c r="L310" s="42">
        <v>1.2E7</v>
      </c>
      <c r="M310" s="42">
        <v>1.177709E7</v>
      </c>
      <c r="N310" s="42">
        <v>0.0</v>
      </c>
      <c r="O310" s="39">
        <f t="shared" si="45"/>
        <v>11777090</v>
      </c>
      <c r="P310" s="36">
        <f>IF(AND((M310+N310)&gt;0,L310=0),"1",IF(AND((M310+N310)=0,L310=0),0,(M310+N310)/L310))</f>
        <v>0.9814241667</v>
      </c>
      <c r="Q310" s="38"/>
      <c r="R310" s="38" t="s">
        <v>1159</v>
      </c>
      <c r="S310" s="38" t="s">
        <v>1093</v>
      </c>
      <c r="T310" s="38" t="s">
        <v>1112</v>
      </c>
      <c r="U310" s="36" t="str">
        <f t="shared" si="46"/>
        <v>1. Easy</v>
      </c>
      <c r="V310" s="38"/>
      <c r="W310" s="38" t="s">
        <v>1105</v>
      </c>
      <c r="X310" s="14"/>
      <c r="Y310" s="14" t="s">
        <v>1612</v>
      </c>
    </row>
    <row r="311" ht="15.75" customHeight="1">
      <c r="A311" s="35" t="s">
        <v>15</v>
      </c>
      <c r="B311" s="36" t="s">
        <v>1254</v>
      </c>
      <c r="C311" s="35" t="s">
        <v>1255</v>
      </c>
      <c r="D311" s="35" t="s">
        <v>1256</v>
      </c>
      <c r="E311" s="38" t="s">
        <v>1771</v>
      </c>
      <c r="F311" s="38" t="s">
        <v>1771</v>
      </c>
      <c r="G311" s="35" t="s">
        <v>1089</v>
      </c>
      <c r="H311" s="37" t="s">
        <v>1162</v>
      </c>
      <c r="I311" s="37" t="s">
        <v>1163</v>
      </c>
      <c r="J311" s="38"/>
      <c r="K311" s="38"/>
      <c r="L311" s="42"/>
      <c r="M311" s="42"/>
      <c r="N311" s="42"/>
      <c r="O311" s="39">
        <f t="shared" si="45"/>
        <v>0</v>
      </c>
      <c r="P311" s="38" t="s">
        <v>1098</v>
      </c>
      <c r="Q311" s="38"/>
      <c r="R311" s="38" t="s">
        <v>1564</v>
      </c>
      <c r="S311" s="38" t="s">
        <v>1105</v>
      </c>
      <c r="T311" s="38" t="s">
        <v>1112</v>
      </c>
      <c r="U311" s="36" t="str">
        <f t="shared" si="46"/>
        <v>Not Included</v>
      </c>
      <c r="V311" s="37" t="s">
        <v>1772</v>
      </c>
      <c r="W311" s="38" t="s">
        <v>1531</v>
      </c>
    </row>
    <row r="312" ht="15.75" customHeight="1">
      <c r="A312" s="36" t="s">
        <v>15</v>
      </c>
      <c r="B312" s="36" t="s">
        <v>1254</v>
      </c>
      <c r="C312" s="35" t="s">
        <v>1255</v>
      </c>
      <c r="D312" s="35" t="s">
        <v>1256</v>
      </c>
      <c r="E312" s="36" t="s">
        <v>24</v>
      </c>
      <c r="F312" s="36" t="s">
        <v>24</v>
      </c>
      <c r="G312" s="35" t="s">
        <v>1089</v>
      </c>
      <c r="H312" s="38" t="s">
        <v>1117</v>
      </c>
      <c r="I312" s="38" t="s">
        <v>1398</v>
      </c>
      <c r="J312" s="38" t="s">
        <v>1479</v>
      </c>
      <c r="K312" s="38"/>
      <c r="L312" s="42"/>
      <c r="M312" s="42"/>
      <c r="N312" s="42"/>
      <c r="O312" s="39">
        <f t="shared" si="45"/>
        <v>0</v>
      </c>
      <c r="P312" s="38" t="s">
        <v>1098</v>
      </c>
      <c r="Q312" s="38"/>
      <c r="R312" s="38" t="s">
        <v>1773</v>
      </c>
      <c r="S312" s="38" t="s">
        <v>1105</v>
      </c>
      <c r="T312" s="36" t="s">
        <v>1112</v>
      </c>
      <c r="U312" s="36" t="str">
        <f t="shared" si="46"/>
        <v>Not Included</v>
      </c>
      <c r="V312" s="82" t="s">
        <v>1774</v>
      </c>
      <c r="W312" s="38" t="s">
        <v>1612</v>
      </c>
    </row>
    <row r="313" ht="15.75" customHeight="1">
      <c r="A313" s="36" t="s">
        <v>15</v>
      </c>
      <c r="B313" s="36" t="s">
        <v>1254</v>
      </c>
      <c r="C313" s="35" t="s">
        <v>1255</v>
      </c>
      <c r="D313" s="35" t="s">
        <v>1256</v>
      </c>
      <c r="E313" s="36" t="s">
        <v>18</v>
      </c>
      <c r="F313" s="36" t="s">
        <v>18</v>
      </c>
      <c r="G313" s="35" t="s">
        <v>1089</v>
      </c>
      <c r="H313" s="38" t="s">
        <v>1117</v>
      </c>
      <c r="I313" s="38" t="s">
        <v>1214</v>
      </c>
      <c r="J313" s="38" t="s">
        <v>1775</v>
      </c>
      <c r="K313" s="38"/>
      <c r="L313" s="42"/>
      <c r="M313" s="42"/>
      <c r="N313" s="42"/>
      <c r="O313" s="39">
        <f t="shared" si="45"/>
        <v>0</v>
      </c>
      <c r="P313" s="38" t="s">
        <v>1098</v>
      </c>
      <c r="Q313" s="38"/>
      <c r="R313" s="38" t="s">
        <v>1583</v>
      </c>
      <c r="S313" s="38" t="s">
        <v>1105</v>
      </c>
      <c r="T313" s="36" t="s">
        <v>1112</v>
      </c>
      <c r="U313" s="36" t="str">
        <f t="shared" si="46"/>
        <v>Not Included</v>
      </c>
      <c r="V313" s="38" t="s">
        <v>1776</v>
      </c>
      <c r="W313" s="38" t="s">
        <v>1612</v>
      </c>
    </row>
    <row r="314" ht="15.75" customHeight="1">
      <c r="A314" s="36" t="s">
        <v>15</v>
      </c>
      <c r="B314" s="36" t="s">
        <v>1254</v>
      </c>
      <c r="C314" s="35" t="s">
        <v>1255</v>
      </c>
      <c r="D314" s="35" t="s">
        <v>1256</v>
      </c>
      <c r="E314" s="36" t="s">
        <v>59</v>
      </c>
      <c r="F314" s="36" t="s">
        <v>59</v>
      </c>
      <c r="G314" s="36" t="s">
        <v>1089</v>
      </c>
      <c r="H314" s="38" t="s">
        <v>1777</v>
      </c>
      <c r="I314" s="38"/>
      <c r="J314" s="38"/>
      <c r="K314" s="42"/>
      <c r="L314" s="42">
        <v>1400000.0</v>
      </c>
      <c r="M314" s="42">
        <f>496920-N314</f>
        <v>249940</v>
      </c>
      <c r="N314" s="42">
        <f>
246980</f>
        <v>246980</v>
      </c>
      <c r="O314" s="39">
        <f t="shared" si="45"/>
        <v>496920</v>
      </c>
      <c r="P314" s="36">
        <f t="shared" ref="P314:P320" si="49">IF(AND((M314+N314)&gt;0,L314=0),"No Funding Goal",IF(AND((M314+N314)=0,L314=0),0,(M314+N314)/L314))</f>
        <v>0.3549428571</v>
      </c>
      <c r="Q314" s="36"/>
      <c r="R314" s="38" t="s">
        <v>1092</v>
      </c>
      <c r="S314" s="38" t="s">
        <v>1093</v>
      </c>
      <c r="T314" s="38" t="s">
        <v>1112</v>
      </c>
      <c r="U314" s="36" t="str">
        <f t="shared" si="46"/>
        <v>3. Difficult</v>
      </c>
      <c r="V314" s="38" t="s">
        <v>1778</v>
      </c>
      <c r="W314" s="38" t="s">
        <v>1612</v>
      </c>
    </row>
    <row r="315" ht="15.75" customHeight="1">
      <c r="A315" s="36" t="s">
        <v>15</v>
      </c>
      <c r="B315" s="36" t="s">
        <v>1254</v>
      </c>
      <c r="C315" s="35" t="s">
        <v>1255</v>
      </c>
      <c r="D315" s="35" t="s">
        <v>1256</v>
      </c>
      <c r="E315" s="36" t="s">
        <v>65</v>
      </c>
      <c r="F315" s="36" t="s">
        <v>65</v>
      </c>
      <c r="G315" s="36" t="s">
        <v>1089</v>
      </c>
      <c r="H315" s="38" t="s">
        <v>153</v>
      </c>
      <c r="I315" s="38" t="s">
        <v>1779</v>
      </c>
      <c r="J315" s="38" t="s">
        <v>1779</v>
      </c>
      <c r="K315" s="42">
        <v>4500000.0</v>
      </c>
      <c r="L315" s="42">
        <v>4500000.0</v>
      </c>
      <c r="M315" s="42">
        <f>2744539.68-N315</f>
        <v>777315.18</v>
      </c>
      <c r="N315" s="42">
        <v>1967224.5</v>
      </c>
      <c r="O315" s="39">
        <f t="shared" si="45"/>
        <v>2744539.68</v>
      </c>
      <c r="P315" s="36">
        <f t="shared" si="49"/>
        <v>0.6098977067</v>
      </c>
      <c r="Q315" s="36"/>
      <c r="R315" s="38" t="s">
        <v>1780</v>
      </c>
      <c r="S315" s="38" t="s">
        <v>1093</v>
      </c>
      <c r="T315" s="38" t="s">
        <v>1094</v>
      </c>
      <c r="U315" s="36" t="str">
        <f t="shared" si="46"/>
        <v>2. Moderate</v>
      </c>
      <c r="V315" s="38"/>
      <c r="W315" s="38" t="s">
        <v>1612</v>
      </c>
      <c r="X315" s="50"/>
      <c r="Y315" s="50"/>
      <c r="Z315" s="50"/>
      <c r="AA315" s="50"/>
      <c r="AB315" s="50"/>
      <c r="AC315" s="50"/>
      <c r="AD315" s="50"/>
      <c r="AE315" s="50"/>
      <c r="AF315" s="50"/>
      <c r="AG315" s="50"/>
      <c r="AH315" s="50"/>
    </row>
    <row r="316" ht="15.75" customHeight="1">
      <c r="A316" s="36" t="s">
        <v>15</v>
      </c>
      <c r="B316" s="36" t="s">
        <v>1254</v>
      </c>
      <c r="C316" s="35" t="s">
        <v>1255</v>
      </c>
      <c r="D316" s="35" t="s">
        <v>1256</v>
      </c>
      <c r="E316" s="36" t="s">
        <v>55</v>
      </c>
      <c r="F316" s="36" t="s">
        <v>55</v>
      </c>
      <c r="G316" s="36" t="s">
        <v>1089</v>
      </c>
      <c r="H316" s="38" t="s">
        <v>56</v>
      </c>
      <c r="I316" s="38" t="s">
        <v>1781</v>
      </c>
      <c r="J316" s="38"/>
      <c r="K316" s="42">
        <v>360000.0</v>
      </c>
      <c r="L316" s="42">
        <v>360000.0</v>
      </c>
      <c r="M316" s="42">
        <v>72343.43</v>
      </c>
      <c r="N316" s="42">
        <v>0.0</v>
      </c>
      <c r="O316" s="39">
        <f t="shared" si="45"/>
        <v>72343.43</v>
      </c>
      <c r="P316" s="36">
        <f t="shared" si="49"/>
        <v>0.2009539722</v>
      </c>
      <c r="Q316" s="36"/>
      <c r="R316" s="38" t="s">
        <v>1092</v>
      </c>
      <c r="S316" s="38" t="s">
        <v>1093</v>
      </c>
      <c r="T316" s="38" t="s">
        <v>1286</v>
      </c>
      <c r="U316" s="36" t="str">
        <f t="shared" si="46"/>
        <v>3. Difficult</v>
      </c>
      <c r="V316" s="38" t="s">
        <v>1782</v>
      </c>
      <c r="W316" s="38" t="s">
        <v>1612</v>
      </c>
    </row>
    <row r="317" ht="15.75" customHeight="1">
      <c r="A317" s="36" t="s">
        <v>15</v>
      </c>
      <c r="B317" s="36" t="s">
        <v>1254</v>
      </c>
      <c r="C317" s="35" t="s">
        <v>1255</v>
      </c>
      <c r="D317" s="35" t="s">
        <v>1256</v>
      </c>
      <c r="E317" s="36" t="s">
        <v>51</v>
      </c>
      <c r="F317" s="36" t="s">
        <v>51</v>
      </c>
      <c r="G317" s="37" t="s">
        <v>1089</v>
      </c>
      <c r="H317" s="38" t="s">
        <v>52</v>
      </c>
      <c r="I317" s="38" t="s">
        <v>1285</v>
      </c>
      <c r="J317" s="38"/>
      <c r="K317" s="57">
        <v>4000000.0</v>
      </c>
      <c r="L317" s="42">
        <v>4000000.0</v>
      </c>
      <c r="M317" s="42">
        <f>3471500-N317</f>
        <v>2689733.62</v>
      </c>
      <c r="N317" s="42">
        <v>781766.38</v>
      </c>
      <c r="O317" s="39">
        <f t="shared" si="45"/>
        <v>3471500</v>
      </c>
      <c r="P317" s="36">
        <f t="shared" si="49"/>
        <v>0.867875</v>
      </c>
      <c r="Q317" s="36"/>
      <c r="R317" s="38" t="s">
        <v>1092</v>
      </c>
      <c r="S317" s="38" t="s">
        <v>1093</v>
      </c>
      <c r="T317" s="38" t="s">
        <v>1286</v>
      </c>
      <c r="U317" s="36" t="str">
        <f t="shared" si="46"/>
        <v>1. Easy</v>
      </c>
      <c r="V317" s="36"/>
      <c r="W317" s="36" t="s">
        <v>1531</v>
      </c>
      <c r="X317" s="68"/>
      <c r="Y317" s="68"/>
      <c r="Z317" s="68"/>
      <c r="AA317" s="68"/>
    </row>
    <row r="318" ht="15.75" customHeight="1">
      <c r="A318" s="36" t="s">
        <v>15</v>
      </c>
      <c r="B318" s="36" t="s">
        <v>1254</v>
      </c>
      <c r="C318" s="35" t="s">
        <v>1255</v>
      </c>
      <c r="D318" s="35" t="s">
        <v>1256</v>
      </c>
      <c r="E318" s="36" t="s">
        <v>45</v>
      </c>
      <c r="F318" s="36" t="s">
        <v>45</v>
      </c>
      <c r="G318" s="36" t="s">
        <v>1089</v>
      </c>
      <c r="H318" s="38" t="s">
        <v>1430</v>
      </c>
      <c r="I318" s="38"/>
      <c r="J318" s="38"/>
      <c r="K318" s="38"/>
      <c r="L318" s="42">
        <v>1600000.0</v>
      </c>
      <c r="M318" s="42">
        <v>0.0</v>
      </c>
      <c r="N318" s="42">
        <v>0.0</v>
      </c>
      <c r="O318" s="39">
        <f t="shared" si="45"/>
        <v>0</v>
      </c>
      <c r="P318" s="36">
        <f t="shared" si="49"/>
        <v>0</v>
      </c>
      <c r="Q318" s="36"/>
      <c r="R318" s="37" t="s">
        <v>1415</v>
      </c>
      <c r="S318" s="38" t="s">
        <v>1093</v>
      </c>
      <c r="T318" s="38" t="s">
        <v>1112</v>
      </c>
      <c r="U318" s="36" t="str">
        <f t="shared" si="46"/>
        <v>3. Difficult</v>
      </c>
      <c r="V318" s="38" t="s">
        <v>1783</v>
      </c>
      <c r="W318" s="38" t="s">
        <v>1612</v>
      </c>
    </row>
    <row r="319" ht="15.75" customHeight="1">
      <c r="A319" s="36" t="s">
        <v>15</v>
      </c>
      <c r="B319" s="36" t="s">
        <v>1254</v>
      </c>
      <c r="C319" s="35" t="s">
        <v>1255</v>
      </c>
      <c r="D319" s="35" t="s">
        <v>1256</v>
      </c>
      <c r="E319" s="36" t="s">
        <v>34</v>
      </c>
      <c r="F319" s="36" t="s">
        <v>34</v>
      </c>
      <c r="G319" s="36" t="s">
        <v>1089</v>
      </c>
      <c r="H319" s="38" t="s">
        <v>1784</v>
      </c>
      <c r="I319" s="38" t="s">
        <v>218</v>
      </c>
      <c r="J319" s="38"/>
      <c r="K319" s="38"/>
      <c r="L319" s="42">
        <v>150000.0</v>
      </c>
      <c r="M319" s="42"/>
      <c r="N319" s="42">
        <v>81363.91</v>
      </c>
      <c r="O319" s="39">
        <f t="shared" si="45"/>
        <v>81363.91</v>
      </c>
      <c r="P319" s="36">
        <f t="shared" si="49"/>
        <v>0.5424260667</v>
      </c>
      <c r="Q319" s="36"/>
      <c r="R319" s="38" t="s">
        <v>1092</v>
      </c>
      <c r="S319" s="38" t="s">
        <v>1093</v>
      </c>
      <c r="T319" s="38" t="s">
        <v>1094</v>
      </c>
      <c r="U319" s="36" t="str">
        <f t="shared" si="46"/>
        <v>2. Moderate</v>
      </c>
      <c r="V319" s="38" t="s">
        <v>1785</v>
      </c>
      <c r="W319" s="38" t="s">
        <v>1786</v>
      </c>
    </row>
    <row r="320" ht="15.75" customHeight="1">
      <c r="A320" s="36" t="s">
        <v>15</v>
      </c>
      <c r="B320" s="36" t="s">
        <v>1254</v>
      </c>
      <c r="C320" s="35" t="s">
        <v>1255</v>
      </c>
      <c r="D320" s="35" t="s">
        <v>1256</v>
      </c>
      <c r="E320" s="36" t="s">
        <v>29</v>
      </c>
      <c r="F320" s="36" t="s">
        <v>29</v>
      </c>
      <c r="G320" s="36" t="s">
        <v>1089</v>
      </c>
      <c r="H320" s="38" t="s">
        <v>1784</v>
      </c>
      <c r="I320" s="38" t="s">
        <v>1104</v>
      </c>
      <c r="J320" s="38"/>
      <c r="K320" s="42">
        <v>175000.0</v>
      </c>
      <c r="L320" s="42">
        <v>475000.0</v>
      </c>
      <c r="M320" s="42">
        <v>207487.0</v>
      </c>
      <c r="N320" s="42">
        <v>0.0</v>
      </c>
      <c r="O320" s="39">
        <f t="shared" si="45"/>
        <v>207487</v>
      </c>
      <c r="P320" s="36">
        <f t="shared" si="49"/>
        <v>0.4368147368</v>
      </c>
      <c r="Q320" s="36"/>
      <c r="R320" s="38" t="s">
        <v>1092</v>
      </c>
      <c r="S320" s="38" t="s">
        <v>1093</v>
      </c>
      <c r="T320" s="38" t="s">
        <v>1286</v>
      </c>
      <c r="U320" s="36" t="str">
        <f t="shared" si="46"/>
        <v>3. Difficult</v>
      </c>
      <c r="V320" s="38" t="s">
        <v>1787</v>
      </c>
      <c r="W320" s="38" t="s">
        <v>1612</v>
      </c>
    </row>
    <row r="321" ht="15.75" customHeight="1">
      <c r="A321" s="52" t="s">
        <v>15</v>
      </c>
      <c r="B321" s="36" t="s">
        <v>1254</v>
      </c>
      <c r="C321" s="35" t="s">
        <v>1255</v>
      </c>
      <c r="D321" s="35" t="s">
        <v>1256</v>
      </c>
      <c r="E321" s="52" t="s">
        <v>1788</v>
      </c>
      <c r="F321" s="52" t="s">
        <v>1788</v>
      </c>
      <c r="G321" s="36" t="s">
        <v>1089</v>
      </c>
      <c r="H321" s="38" t="s">
        <v>1347</v>
      </c>
      <c r="I321" s="38" t="s">
        <v>1789</v>
      </c>
      <c r="J321" s="38"/>
      <c r="K321" s="52"/>
      <c r="L321" s="71"/>
      <c r="M321" s="71"/>
      <c r="N321" s="71"/>
      <c r="O321" s="39">
        <f t="shared" si="45"/>
        <v>0</v>
      </c>
      <c r="P321" s="36" t="s">
        <v>1098</v>
      </c>
      <c r="Q321" s="36"/>
      <c r="R321" s="38" t="s">
        <v>1092</v>
      </c>
      <c r="S321" s="38" t="s">
        <v>1105</v>
      </c>
      <c r="T321" s="38" t="s">
        <v>1112</v>
      </c>
      <c r="U321" s="36" t="str">
        <f t="shared" si="46"/>
        <v>Not Included</v>
      </c>
      <c r="V321" s="38" t="s">
        <v>1790</v>
      </c>
      <c r="W321" s="38" t="s">
        <v>1612</v>
      </c>
      <c r="X321" s="50"/>
      <c r="Y321" s="50"/>
      <c r="Z321" s="50"/>
      <c r="AA321" s="50"/>
      <c r="AB321" s="50"/>
      <c r="AC321" s="50"/>
      <c r="AD321" s="50"/>
      <c r="AE321" s="50"/>
      <c r="AF321" s="50"/>
      <c r="AG321" s="50"/>
      <c r="AH321" s="50"/>
    </row>
    <row r="322" ht="59.25" customHeight="1">
      <c r="A322" s="36" t="s">
        <v>15</v>
      </c>
      <c r="B322" s="36" t="s">
        <v>1254</v>
      </c>
      <c r="C322" s="35" t="s">
        <v>1255</v>
      </c>
      <c r="D322" s="35" t="s">
        <v>1256</v>
      </c>
      <c r="E322" s="36" t="s">
        <v>78</v>
      </c>
      <c r="F322" s="36" t="s">
        <v>78</v>
      </c>
      <c r="G322" s="36" t="s">
        <v>1089</v>
      </c>
      <c r="H322" s="38" t="s">
        <v>1369</v>
      </c>
      <c r="I322" s="38" t="s">
        <v>1370</v>
      </c>
      <c r="J322" s="38"/>
      <c r="K322" s="38"/>
      <c r="L322" s="39">
        <v>0.0</v>
      </c>
      <c r="M322" s="39"/>
      <c r="N322" s="39">
        <v>0.0</v>
      </c>
      <c r="O322" s="39">
        <f t="shared" si="45"/>
        <v>0</v>
      </c>
      <c r="P322" s="36">
        <f t="shared" ref="P322:P323" si="50">IF(AND((M322+N322)&gt;0,L322=0),"No Funding Goal",IF(AND((M322+N322)=0,L322=0),0,(M322+N322)/L322))</f>
        <v>0</v>
      </c>
      <c r="Q322" s="36"/>
      <c r="R322" s="45" t="s">
        <v>1371</v>
      </c>
      <c r="S322" s="36" t="s">
        <v>1100</v>
      </c>
      <c r="T322" s="36" t="s">
        <v>1112</v>
      </c>
      <c r="U322" s="36" t="str">
        <f t="shared" si="46"/>
        <v>3. Difficult</v>
      </c>
      <c r="V322" s="36" t="s">
        <v>1791</v>
      </c>
      <c r="W322" s="38" t="s">
        <v>1792</v>
      </c>
      <c r="X322" s="40"/>
      <c r="Y322" s="40"/>
      <c r="Z322" s="40"/>
      <c r="AA322" s="40"/>
      <c r="AB322" s="40"/>
      <c r="AC322" s="40"/>
      <c r="AD322" s="40"/>
      <c r="AE322" s="40"/>
      <c r="AF322" s="40"/>
      <c r="AG322" s="40"/>
      <c r="AH322" s="40"/>
      <c r="AI322" s="40"/>
    </row>
    <row r="323" ht="45.75" customHeight="1">
      <c r="A323" s="36" t="s">
        <v>15</v>
      </c>
      <c r="B323" s="36" t="s">
        <v>1254</v>
      </c>
      <c r="C323" s="35" t="s">
        <v>1255</v>
      </c>
      <c r="D323" s="35" t="s">
        <v>1256</v>
      </c>
      <c r="E323" s="36" t="s">
        <v>74</v>
      </c>
      <c r="F323" s="36" t="s">
        <v>74</v>
      </c>
      <c r="G323" s="36" t="s">
        <v>1089</v>
      </c>
      <c r="H323" s="38" t="s">
        <v>1369</v>
      </c>
      <c r="I323" s="38" t="s">
        <v>1337</v>
      </c>
      <c r="J323" s="38"/>
      <c r="K323" s="38"/>
      <c r="L323" s="42">
        <v>0.0</v>
      </c>
      <c r="M323" s="42"/>
      <c r="N323" s="42">
        <v>0.0</v>
      </c>
      <c r="O323" s="39">
        <f t="shared" si="45"/>
        <v>0</v>
      </c>
      <c r="P323" s="36">
        <f t="shared" si="50"/>
        <v>0</v>
      </c>
      <c r="Q323" s="36"/>
      <c r="R323" s="45" t="s">
        <v>1371</v>
      </c>
      <c r="S323" s="38" t="s">
        <v>1100</v>
      </c>
      <c r="T323" s="36" t="s">
        <v>1112</v>
      </c>
      <c r="U323" s="36" t="str">
        <f t="shared" si="46"/>
        <v>3. Difficult</v>
      </c>
      <c r="V323" s="38" t="s">
        <v>1793</v>
      </c>
      <c r="W323" s="38" t="s">
        <v>1531</v>
      </c>
    </row>
    <row r="324" ht="15.75" customHeight="1">
      <c r="A324" s="35" t="s">
        <v>15</v>
      </c>
      <c r="B324" s="36" t="s">
        <v>1254</v>
      </c>
      <c r="C324" s="35" t="s">
        <v>1255</v>
      </c>
      <c r="D324" s="35" t="s">
        <v>1256</v>
      </c>
      <c r="E324" s="38" t="s">
        <v>1794</v>
      </c>
      <c r="F324" s="38" t="s">
        <v>1794</v>
      </c>
      <c r="G324" s="36" t="str">
        <f>IF(J324&lt;&gt;"CARB", "yes", "CARB")</f>
        <v>CARB</v>
      </c>
      <c r="H324" s="38" t="s">
        <v>162</v>
      </c>
      <c r="I324" s="38" t="s">
        <v>1239</v>
      </c>
      <c r="J324" s="38" t="s">
        <v>1116</v>
      </c>
      <c r="K324" s="38"/>
      <c r="L324" s="38"/>
      <c r="M324" s="38"/>
      <c r="N324" s="38"/>
      <c r="O324" s="38"/>
      <c r="P324" s="38" t="s">
        <v>1098</v>
      </c>
      <c r="Q324" s="38"/>
      <c r="R324" s="38"/>
      <c r="S324" s="38" t="s">
        <v>1100</v>
      </c>
      <c r="T324" s="38" t="s">
        <v>1112</v>
      </c>
      <c r="U324" s="36" t="str">
        <f t="shared" si="46"/>
        <v>Not Included</v>
      </c>
      <c r="V324" s="85" t="s">
        <v>1795</v>
      </c>
      <c r="W324" s="38" t="s">
        <v>1531</v>
      </c>
    </row>
    <row r="325" ht="48.75" customHeight="1">
      <c r="A325" s="36" t="s">
        <v>15</v>
      </c>
      <c r="B325" s="36" t="s">
        <v>1254</v>
      </c>
      <c r="C325" s="35" t="s">
        <v>1255</v>
      </c>
      <c r="D325" s="35" t="s">
        <v>1256</v>
      </c>
      <c r="E325" s="54" t="s">
        <v>712</v>
      </c>
      <c r="F325" s="54" t="s">
        <v>713</v>
      </c>
      <c r="G325" s="36" t="s">
        <v>1116</v>
      </c>
      <c r="H325" s="37" t="s">
        <v>1139</v>
      </c>
      <c r="I325" s="37"/>
      <c r="J325" s="38"/>
      <c r="K325" s="38"/>
      <c r="L325" s="38"/>
      <c r="M325" s="38"/>
      <c r="N325" s="38"/>
      <c r="O325" s="38"/>
      <c r="P325" s="36" t="s">
        <v>1098</v>
      </c>
      <c r="Q325" s="38"/>
      <c r="R325" s="38"/>
      <c r="S325" s="38"/>
      <c r="T325" s="38"/>
      <c r="U325" s="38"/>
      <c r="V325" s="38"/>
      <c r="W325" s="38"/>
      <c r="AI325" s="50"/>
    </row>
    <row r="326" ht="51.0" customHeight="1">
      <c r="A326" s="36" t="s">
        <v>15</v>
      </c>
      <c r="B326" s="36" t="s">
        <v>1254</v>
      </c>
      <c r="C326" s="35" t="s">
        <v>1255</v>
      </c>
      <c r="D326" s="35" t="s">
        <v>1256</v>
      </c>
      <c r="E326" s="54" t="s">
        <v>837</v>
      </c>
      <c r="F326" s="54" t="s">
        <v>837</v>
      </c>
      <c r="G326" s="36" t="s">
        <v>1116</v>
      </c>
      <c r="H326" s="37" t="s">
        <v>1139</v>
      </c>
      <c r="I326" s="37"/>
      <c r="J326" s="38"/>
      <c r="K326" s="38"/>
      <c r="L326" s="38"/>
      <c r="M326" s="38"/>
      <c r="N326" s="38"/>
      <c r="O326" s="38"/>
      <c r="P326" s="36" t="s">
        <v>1098</v>
      </c>
      <c r="Q326" s="38"/>
      <c r="R326" s="38"/>
      <c r="S326" s="38"/>
      <c r="T326" s="38"/>
      <c r="U326" s="38"/>
      <c r="V326" s="38"/>
      <c r="W326" s="38"/>
      <c r="AI326" s="68"/>
    </row>
    <row r="327" ht="42.75" customHeight="1">
      <c r="A327" s="36" t="s">
        <v>15</v>
      </c>
      <c r="B327" s="36" t="s">
        <v>1254</v>
      </c>
      <c r="C327" s="35" t="s">
        <v>1255</v>
      </c>
      <c r="D327" s="35" t="s">
        <v>1256</v>
      </c>
      <c r="E327" s="36" t="s">
        <v>854</v>
      </c>
      <c r="F327" s="36" t="s">
        <v>854</v>
      </c>
      <c r="G327" s="36" t="s">
        <v>1116</v>
      </c>
      <c r="H327" s="38" t="s">
        <v>1139</v>
      </c>
      <c r="I327" s="38" t="s">
        <v>1238</v>
      </c>
      <c r="J327" s="38" t="s">
        <v>1796</v>
      </c>
      <c r="L327" s="38"/>
      <c r="M327" s="38"/>
      <c r="N327" s="38"/>
      <c r="O327" s="38"/>
      <c r="P327" s="36" t="s">
        <v>1098</v>
      </c>
      <c r="Q327" s="38"/>
      <c r="R327" s="38"/>
      <c r="S327" s="38"/>
      <c r="T327" s="38"/>
      <c r="U327" s="38"/>
      <c r="V327" s="38"/>
      <c r="W327" s="38"/>
    </row>
    <row r="328" ht="15.75" customHeight="1">
      <c r="A328" s="36" t="s">
        <v>15</v>
      </c>
      <c r="B328" s="36" t="s">
        <v>1254</v>
      </c>
      <c r="C328" s="35" t="s">
        <v>1255</v>
      </c>
      <c r="D328" s="35" t="s">
        <v>1256</v>
      </c>
      <c r="E328" s="54" t="s">
        <v>755</v>
      </c>
      <c r="F328" s="54" t="s">
        <v>755</v>
      </c>
      <c r="G328" s="36" t="s">
        <v>1116</v>
      </c>
      <c r="H328" s="38" t="s">
        <v>1139</v>
      </c>
      <c r="I328" s="38" t="s">
        <v>1737</v>
      </c>
      <c r="J328" s="38" t="s">
        <v>1797</v>
      </c>
      <c r="L328" s="38"/>
      <c r="M328" s="38"/>
      <c r="N328" s="38"/>
      <c r="O328" s="38"/>
      <c r="P328" s="36" t="s">
        <v>1098</v>
      </c>
      <c r="Q328" s="38"/>
      <c r="R328" s="38"/>
      <c r="S328" s="38"/>
      <c r="T328" s="38"/>
      <c r="U328" s="38"/>
      <c r="V328" s="38"/>
      <c r="W328" s="38"/>
    </row>
    <row r="329" ht="60.0" customHeight="1">
      <c r="A329" s="36" t="s">
        <v>15</v>
      </c>
      <c r="B329" s="36" t="s">
        <v>1254</v>
      </c>
      <c r="C329" s="35" t="s">
        <v>1255</v>
      </c>
      <c r="D329" s="35" t="s">
        <v>1256</v>
      </c>
      <c r="E329" s="54" t="s">
        <v>799</v>
      </c>
      <c r="F329" s="54" t="s">
        <v>799</v>
      </c>
      <c r="G329" s="36" t="s">
        <v>1116</v>
      </c>
      <c r="H329" s="38" t="s">
        <v>1139</v>
      </c>
      <c r="I329" s="38" t="s">
        <v>1445</v>
      </c>
      <c r="J329" s="38"/>
      <c r="K329" s="38"/>
      <c r="L329" s="38"/>
      <c r="M329" s="38"/>
      <c r="N329" s="38"/>
      <c r="O329" s="38"/>
      <c r="P329" s="36" t="s">
        <v>1098</v>
      </c>
      <c r="Q329" s="38"/>
      <c r="R329" s="38"/>
      <c r="S329" s="38"/>
      <c r="T329" s="38"/>
      <c r="U329" s="38"/>
      <c r="V329" s="38"/>
      <c r="W329" s="38"/>
    </row>
    <row r="330" ht="15.75" customHeight="1">
      <c r="A330" s="36" t="s">
        <v>15</v>
      </c>
      <c r="B330" s="36" t="s">
        <v>1254</v>
      </c>
      <c r="C330" s="35" t="s">
        <v>1255</v>
      </c>
      <c r="D330" s="35" t="s">
        <v>1256</v>
      </c>
      <c r="E330" s="54" t="s">
        <v>804</v>
      </c>
      <c r="F330" s="54" t="s">
        <v>804</v>
      </c>
      <c r="G330" s="36" t="s">
        <v>1116</v>
      </c>
      <c r="H330" s="38" t="s">
        <v>1139</v>
      </c>
      <c r="I330" s="38" t="s">
        <v>1798</v>
      </c>
      <c r="J330" s="38"/>
      <c r="K330" s="38"/>
      <c r="L330" s="38"/>
      <c r="M330" s="38"/>
      <c r="N330" s="38"/>
      <c r="O330" s="38"/>
      <c r="P330" s="36" t="s">
        <v>1098</v>
      </c>
      <c r="Q330" s="38"/>
      <c r="R330" s="38"/>
      <c r="S330" s="38"/>
      <c r="T330" s="38"/>
      <c r="U330" s="38"/>
      <c r="V330" s="38"/>
      <c r="W330" s="38"/>
    </row>
    <row r="331" ht="58.5" customHeight="1">
      <c r="A331" s="36" t="s">
        <v>15</v>
      </c>
      <c r="B331" s="36" t="s">
        <v>1254</v>
      </c>
      <c r="C331" s="35" t="s">
        <v>1255</v>
      </c>
      <c r="D331" s="35" t="s">
        <v>1256</v>
      </c>
      <c r="E331" s="54" t="s">
        <v>824</v>
      </c>
      <c r="F331" s="54" t="s">
        <v>824</v>
      </c>
      <c r="G331" s="36" t="s">
        <v>1116</v>
      </c>
      <c r="H331" s="38" t="s">
        <v>1139</v>
      </c>
      <c r="I331" s="38" t="s">
        <v>1446</v>
      </c>
      <c r="J331" s="38" t="s">
        <v>1447</v>
      </c>
      <c r="L331" s="38"/>
      <c r="M331" s="38"/>
      <c r="N331" s="38"/>
      <c r="O331" s="38"/>
      <c r="P331" s="36" t="s">
        <v>1098</v>
      </c>
      <c r="Q331" s="38"/>
      <c r="R331" s="38"/>
      <c r="S331" s="38"/>
      <c r="T331" s="38"/>
      <c r="U331" s="38"/>
      <c r="V331" s="38"/>
      <c r="W331" s="38"/>
    </row>
    <row r="332" ht="75.75" customHeight="1">
      <c r="A332" s="36" t="s">
        <v>15</v>
      </c>
      <c r="B332" s="36" t="s">
        <v>1254</v>
      </c>
      <c r="C332" s="35" t="s">
        <v>1255</v>
      </c>
      <c r="D332" s="35" t="s">
        <v>1256</v>
      </c>
      <c r="E332" s="54" t="s">
        <v>731</v>
      </c>
      <c r="F332" s="54" t="s">
        <v>731</v>
      </c>
      <c r="G332" s="36" t="s">
        <v>1116</v>
      </c>
      <c r="H332" s="38" t="s">
        <v>1139</v>
      </c>
      <c r="I332" s="38" t="s">
        <v>1217</v>
      </c>
      <c r="J332" s="38"/>
      <c r="K332" s="38"/>
      <c r="L332" s="38"/>
      <c r="M332" s="38"/>
      <c r="N332" s="38"/>
      <c r="O332" s="38"/>
      <c r="P332" s="36" t="s">
        <v>1098</v>
      </c>
      <c r="Q332" s="38"/>
      <c r="R332" s="38"/>
      <c r="S332" s="38"/>
      <c r="T332" s="38"/>
      <c r="U332" s="38"/>
      <c r="V332" s="38"/>
      <c r="W332" s="38"/>
    </row>
    <row r="333" ht="15.75" customHeight="1">
      <c r="A333" s="36" t="s">
        <v>15</v>
      </c>
      <c r="B333" s="36" t="s">
        <v>1254</v>
      </c>
      <c r="C333" s="35" t="s">
        <v>1255</v>
      </c>
      <c r="D333" s="35" t="s">
        <v>1256</v>
      </c>
      <c r="E333" s="36" t="s">
        <v>731</v>
      </c>
      <c r="F333" s="36" t="s">
        <v>731</v>
      </c>
      <c r="G333" s="40" t="s">
        <v>1167</v>
      </c>
      <c r="H333" s="38" t="s">
        <v>1314</v>
      </c>
      <c r="I333" s="38"/>
      <c r="J333" s="38"/>
      <c r="K333" s="38"/>
      <c r="L333" s="38"/>
      <c r="M333" s="38"/>
      <c r="N333" s="38"/>
      <c r="O333" s="36"/>
      <c r="P333" s="36" t="s">
        <v>1098</v>
      </c>
      <c r="Q333" s="36"/>
      <c r="R333" s="38"/>
      <c r="S333" s="38" t="s">
        <v>1105</v>
      </c>
      <c r="T333" s="38" t="s">
        <v>1106</v>
      </c>
      <c r="U333" s="38"/>
      <c r="V333" s="38"/>
      <c r="W333" s="38"/>
    </row>
    <row r="334" ht="71.25" customHeight="1">
      <c r="A334" s="35" t="s">
        <v>15</v>
      </c>
      <c r="B334" s="36" t="s">
        <v>1254</v>
      </c>
      <c r="C334" s="35" t="s">
        <v>1255</v>
      </c>
      <c r="D334" s="35" t="s">
        <v>1256</v>
      </c>
      <c r="E334" s="38" t="s">
        <v>1799</v>
      </c>
      <c r="F334" s="38" t="s">
        <v>1799</v>
      </c>
      <c r="G334" s="36" t="s">
        <v>1089</v>
      </c>
      <c r="H334" s="37" t="s">
        <v>1090</v>
      </c>
      <c r="I334" s="37" t="s">
        <v>1800</v>
      </c>
      <c r="J334" s="38"/>
      <c r="K334" s="38"/>
      <c r="L334" s="42">
        <v>400000.0</v>
      </c>
      <c r="M334" s="42">
        <v>0.0</v>
      </c>
      <c r="N334" s="42">
        <v>0.0</v>
      </c>
      <c r="O334" s="39">
        <f t="shared" ref="O334:O344" si="51">M334+N334</f>
        <v>0</v>
      </c>
      <c r="P334" s="36">
        <f t="shared" ref="P334:P335" si="52">IF(AND((M334+N334)&gt;0,L334=0),"No Funding Goal",IF(AND((M334+N334)=0,L334=0),0,(M334+N334)/L334))</f>
        <v>0</v>
      </c>
      <c r="Q334" s="36"/>
      <c r="R334" s="38" t="s">
        <v>1092</v>
      </c>
      <c r="S334" s="38" t="s">
        <v>1093</v>
      </c>
      <c r="T334" s="38" t="s">
        <v>1112</v>
      </c>
      <c r="U334" s="36" t="str">
        <f t="shared" ref="U334:U344" si="53">IFS(
    P334="No Funding Goal","Not Included",
    P334="Not Applicable","Not Included",
    P334&gt;=0.75,"1. Easy",
    AND(P334&lt;0.75,P334&gt;=0.5),"2. Moderate",
    P334&lt;0.5,"3. Difficult"
)</f>
        <v>3. Difficult</v>
      </c>
      <c r="V334" s="82" t="s">
        <v>1801</v>
      </c>
      <c r="W334" s="38" t="s">
        <v>1531</v>
      </c>
    </row>
    <row r="335" ht="15.75" customHeight="1">
      <c r="A335" s="35" t="s">
        <v>15</v>
      </c>
      <c r="B335" s="36" t="s">
        <v>1254</v>
      </c>
      <c r="C335" s="35" t="s">
        <v>1255</v>
      </c>
      <c r="D335" s="35" t="s">
        <v>1256</v>
      </c>
      <c r="E335" s="36" t="s">
        <v>37</v>
      </c>
      <c r="F335" s="36" t="s">
        <v>37</v>
      </c>
      <c r="G335" s="36" t="s">
        <v>1089</v>
      </c>
      <c r="H335" s="36" t="s">
        <v>1090</v>
      </c>
      <c r="I335" s="74" t="s">
        <v>1312</v>
      </c>
      <c r="J335" s="38"/>
      <c r="K335" s="39">
        <v>5000000.0</v>
      </c>
      <c r="L335" s="39">
        <v>3450000.0</v>
      </c>
      <c r="M335" s="39">
        <v>0.0</v>
      </c>
      <c r="N335" s="39">
        <v>0.0</v>
      </c>
      <c r="O335" s="39">
        <f t="shared" si="51"/>
        <v>0</v>
      </c>
      <c r="P335" s="36">
        <f t="shared" si="52"/>
        <v>0</v>
      </c>
      <c r="Q335" s="36"/>
      <c r="R335" s="38" t="s">
        <v>1092</v>
      </c>
      <c r="S335" s="38" t="s">
        <v>1093</v>
      </c>
      <c r="T335" s="38" t="s">
        <v>1094</v>
      </c>
      <c r="U335" s="36" t="str">
        <f t="shared" si="53"/>
        <v>3. Difficult</v>
      </c>
      <c r="V335" s="37" t="s">
        <v>1802</v>
      </c>
      <c r="W335" s="36" t="s">
        <v>1803</v>
      </c>
      <c r="X335" s="45"/>
      <c r="Y335" s="45"/>
      <c r="Z335" s="45"/>
      <c r="AA335" s="40"/>
      <c r="AB335" s="40"/>
      <c r="AC335" s="40"/>
      <c r="AD335" s="40"/>
      <c r="AE335" s="40"/>
      <c r="AF335" s="40"/>
      <c r="AG335" s="40"/>
      <c r="AH335" s="40"/>
      <c r="AI335" s="40"/>
    </row>
    <row r="336" ht="131.25" customHeight="1">
      <c r="A336" s="36" t="s">
        <v>481</v>
      </c>
      <c r="B336" s="36" t="s">
        <v>1804</v>
      </c>
      <c r="C336" s="35" t="s">
        <v>1805</v>
      </c>
      <c r="D336" s="35" t="s">
        <v>1256</v>
      </c>
      <c r="E336" s="36" t="s">
        <v>535</v>
      </c>
      <c r="F336" s="36" t="s">
        <v>535</v>
      </c>
      <c r="G336" s="36" t="s">
        <v>1089</v>
      </c>
      <c r="H336" s="38" t="s">
        <v>1257</v>
      </c>
      <c r="I336" s="38" t="s">
        <v>1265</v>
      </c>
      <c r="J336" s="38" t="s">
        <v>1700</v>
      </c>
      <c r="K336" s="42"/>
      <c r="L336" s="42">
        <v>1000000.0</v>
      </c>
      <c r="M336" s="42">
        <v>1000000.0</v>
      </c>
      <c r="N336" s="42">
        <v>30000.0</v>
      </c>
      <c r="O336" s="39">
        <f t="shared" si="51"/>
        <v>1030000</v>
      </c>
      <c r="P336" s="36">
        <v>1.0</v>
      </c>
      <c r="Q336" s="36" t="s">
        <v>1259</v>
      </c>
      <c r="R336" s="38" t="s">
        <v>1092</v>
      </c>
      <c r="S336" s="38" t="s">
        <v>1105</v>
      </c>
      <c r="T336" s="36" t="s">
        <v>1112</v>
      </c>
      <c r="U336" s="36" t="str">
        <f t="shared" si="53"/>
        <v>1. Easy</v>
      </c>
      <c r="V336" s="38" t="s">
        <v>1806</v>
      </c>
      <c r="W336" s="38" t="s">
        <v>1612</v>
      </c>
    </row>
    <row r="337" ht="15.75" customHeight="1">
      <c r="A337" s="36" t="s">
        <v>187</v>
      </c>
      <c r="B337" s="36" t="s">
        <v>1697</v>
      </c>
      <c r="C337" s="35" t="s">
        <v>1698</v>
      </c>
      <c r="D337" s="35" t="s">
        <v>1256</v>
      </c>
      <c r="E337" s="36" t="s">
        <v>271</v>
      </c>
      <c r="F337" s="36" t="s">
        <v>271</v>
      </c>
      <c r="G337" s="36" t="s">
        <v>1089</v>
      </c>
      <c r="H337" s="38" t="s">
        <v>153</v>
      </c>
      <c r="I337" s="38" t="s">
        <v>1241</v>
      </c>
      <c r="J337" s="38" t="s">
        <v>1241</v>
      </c>
      <c r="K337" s="42">
        <v>5200000.0</v>
      </c>
      <c r="L337" s="42">
        <v>5200000.0</v>
      </c>
      <c r="M337" s="42"/>
      <c r="N337" s="42">
        <v>0.0</v>
      </c>
      <c r="O337" s="39">
        <f t="shared" si="51"/>
        <v>0</v>
      </c>
      <c r="P337" s="36">
        <f>IF(AND((M337+N337)&gt;0,L337=0),"No Funding Goal",IF(AND((M337+N337)=0,L337=0),0,(M337+N337)/L337))</f>
        <v>0</v>
      </c>
      <c r="Q337" s="36"/>
      <c r="R337" s="36" t="s">
        <v>1243</v>
      </c>
      <c r="S337" s="38" t="s">
        <v>1093</v>
      </c>
      <c r="T337" s="38" t="s">
        <v>1094</v>
      </c>
      <c r="U337" s="36" t="str">
        <f t="shared" si="53"/>
        <v>3. Difficult</v>
      </c>
      <c r="V337" s="37" t="s">
        <v>1807</v>
      </c>
      <c r="W337" s="37"/>
    </row>
    <row r="338" ht="15.75" customHeight="1">
      <c r="A338" s="35" t="s">
        <v>187</v>
      </c>
      <c r="B338" s="36" t="s">
        <v>1697</v>
      </c>
      <c r="C338" s="35" t="s">
        <v>1698</v>
      </c>
      <c r="D338" s="35" t="s">
        <v>1256</v>
      </c>
      <c r="E338" s="38" t="s">
        <v>1779</v>
      </c>
      <c r="F338" s="38" t="s">
        <v>1779</v>
      </c>
      <c r="G338" s="36" t="s">
        <v>1089</v>
      </c>
      <c r="H338" s="38" t="s">
        <v>153</v>
      </c>
      <c r="I338" s="38" t="s">
        <v>1779</v>
      </c>
      <c r="J338" s="38" t="s">
        <v>1779</v>
      </c>
      <c r="K338" s="42">
        <v>0.0</v>
      </c>
      <c r="L338" s="42">
        <v>0.0</v>
      </c>
      <c r="M338" s="42">
        <v>213675.82</v>
      </c>
      <c r="N338" s="42">
        <v>773401.21</v>
      </c>
      <c r="O338" s="39">
        <f t="shared" si="51"/>
        <v>987077.03</v>
      </c>
      <c r="P338" s="36">
        <v>1.0</v>
      </c>
      <c r="Q338" s="36" t="s">
        <v>1259</v>
      </c>
      <c r="R338" s="37" t="s">
        <v>1780</v>
      </c>
      <c r="S338" s="38" t="s">
        <v>1093</v>
      </c>
      <c r="T338" s="38" t="s">
        <v>1094</v>
      </c>
      <c r="U338" s="36" t="str">
        <f t="shared" si="53"/>
        <v>1. Easy</v>
      </c>
      <c r="V338" s="37" t="s">
        <v>1808</v>
      </c>
      <c r="W338" s="37" t="s">
        <v>1809</v>
      </c>
    </row>
    <row r="339" ht="69.75" customHeight="1">
      <c r="A339" s="36" t="s">
        <v>481</v>
      </c>
      <c r="B339" s="36" t="s">
        <v>1804</v>
      </c>
      <c r="C339" s="35" t="s">
        <v>1805</v>
      </c>
      <c r="D339" s="35" t="s">
        <v>1256</v>
      </c>
      <c r="E339" s="36" t="s">
        <v>513</v>
      </c>
      <c r="F339" s="36" t="s">
        <v>513</v>
      </c>
      <c r="G339" s="36" t="s">
        <v>1089</v>
      </c>
      <c r="H339" s="38" t="s">
        <v>1257</v>
      </c>
      <c r="I339" s="38" t="s">
        <v>1265</v>
      </c>
      <c r="J339" s="38" t="s">
        <v>1695</v>
      </c>
      <c r="K339" s="42"/>
      <c r="L339" s="42">
        <v>375000.0</v>
      </c>
      <c r="M339" s="42">
        <f>155000-N339</f>
        <v>30000</v>
      </c>
      <c r="N339" s="42">
        <v>125000.0</v>
      </c>
      <c r="O339" s="39">
        <f t="shared" si="51"/>
        <v>155000</v>
      </c>
      <c r="P339" s="36">
        <f>IF(AND((M339+N339)&gt;0,L339=0),"1",IF(AND((M339+N339)=0,L339=0),0,(M339+N339)/L339))</f>
        <v>0.4133333333</v>
      </c>
      <c r="Q339" s="36"/>
      <c r="R339" s="38" t="s">
        <v>1092</v>
      </c>
      <c r="S339" s="38" t="s">
        <v>1105</v>
      </c>
      <c r="T339" s="36" t="s">
        <v>1112</v>
      </c>
      <c r="U339" s="36" t="str">
        <f t="shared" si="53"/>
        <v>3. Difficult</v>
      </c>
      <c r="V339" s="38" t="s">
        <v>1810</v>
      </c>
      <c r="W339" s="36" t="s">
        <v>1811</v>
      </c>
    </row>
    <row r="340" ht="102.0" customHeight="1">
      <c r="A340" s="35" t="s">
        <v>187</v>
      </c>
      <c r="B340" s="36" t="s">
        <v>1697</v>
      </c>
      <c r="C340" s="35" t="s">
        <v>1698</v>
      </c>
      <c r="D340" s="35" t="s">
        <v>1256</v>
      </c>
      <c r="E340" s="52" t="s">
        <v>1812</v>
      </c>
      <c r="F340" s="52" t="s">
        <v>1812</v>
      </c>
      <c r="G340" s="36" t="s">
        <v>1089</v>
      </c>
      <c r="H340" s="38" t="s">
        <v>1117</v>
      </c>
      <c r="I340" s="38" t="s">
        <v>1813</v>
      </c>
      <c r="J340" s="38"/>
      <c r="K340" s="38"/>
      <c r="L340" s="42"/>
      <c r="M340" s="42"/>
      <c r="N340" s="42"/>
      <c r="O340" s="39">
        <f t="shared" si="51"/>
        <v>0</v>
      </c>
      <c r="P340" s="38" t="s">
        <v>1098</v>
      </c>
      <c r="Q340" s="38"/>
      <c r="R340" s="37" t="s">
        <v>1092</v>
      </c>
      <c r="S340" s="38" t="s">
        <v>1105</v>
      </c>
      <c r="T340" s="36" t="s">
        <v>1112</v>
      </c>
      <c r="U340" s="36" t="str">
        <f t="shared" si="53"/>
        <v>Not Included</v>
      </c>
      <c r="V340" s="38" t="s">
        <v>1814</v>
      </c>
      <c r="W340" s="38" t="s">
        <v>1612</v>
      </c>
    </row>
    <row r="341" ht="15.75" customHeight="1">
      <c r="A341" s="35" t="s">
        <v>187</v>
      </c>
      <c r="B341" s="36" t="s">
        <v>1697</v>
      </c>
      <c r="C341" s="35" t="s">
        <v>1698</v>
      </c>
      <c r="D341" s="35" t="s">
        <v>1256</v>
      </c>
      <c r="E341" s="52" t="s">
        <v>1815</v>
      </c>
      <c r="F341" s="52" t="s">
        <v>1815</v>
      </c>
      <c r="G341" s="36" t="s">
        <v>1089</v>
      </c>
      <c r="H341" s="38" t="s">
        <v>1117</v>
      </c>
      <c r="I341" s="38" t="s">
        <v>112</v>
      </c>
      <c r="J341" s="38"/>
      <c r="K341" s="38"/>
      <c r="L341" s="42"/>
      <c r="M341" s="42"/>
      <c r="N341" s="42"/>
      <c r="O341" s="39">
        <f t="shared" si="51"/>
        <v>0</v>
      </c>
      <c r="P341" s="38" t="s">
        <v>1098</v>
      </c>
      <c r="Q341" s="38"/>
      <c r="R341" s="37" t="s">
        <v>1352</v>
      </c>
      <c r="S341" s="38" t="s">
        <v>1105</v>
      </c>
      <c r="T341" s="36" t="s">
        <v>1112</v>
      </c>
      <c r="U341" s="36" t="str">
        <f t="shared" si="53"/>
        <v>Not Included</v>
      </c>
      <c r="V341" s="38"/>
      <c r="W341" s="38"/>
    </row>
    <row r="342" ht="85.5" customHeight="1">
      <c r="A342" s="35" t="s">
        <v>187</v>
      </c>
      <c r="B342" s="36" t="s">
        <v>1697</v>
      </c>
      <c r="C342" s="35" t="s">
        <v>1698</v>
      </c>
      <c r="D342" s="35" t="s">
        <v>1256</v>
      </c>
      <c r="E342" s="52" t="s">
        <v>1816</v>
      </c>
      <c r="F342" s="52" t="s">
        <v>1816</v>
      </c>
      <c r="G342" s="36" t="s">
        <v>1089</v>
      </c>
      <c r="H342" s="38" t="s">
        <v>1117</v>
      </c>
      <c r="I342" s="38" t="s">
        <v>1817</v>
      </c>
      <c r="J342" s="38"/>
      <c r="K342" s="38"/>
      <c r="L342" s="42"/>
      <c r="M342" s="42"/>
      <c r="N342" s="42"/>
      <c r="O342" s="39">
        <f t="shared" si="51"/>
        <v>0</v>
      </c>
      <c r="P342" s="38" t="s">
        <v>1098</v>
      </c>
      <c r="Q342" s="38"/>
      <c r="R342" s="37" t="s">
        <v>1415</v>
      </c>
      <c r="S342" s="38" t="s">
        <v>1105</v>
      </c>
      <c r="T342" s="36" t="s">
        <v>1112</v>
      </c>
      <c r="U342" s="36" t="str">
        <f t="shared" si="53"/>
        <v>Not Included</v>
      </c>
      <c r="V342" s="38"/>
      <c r="W342" s="38"/>
    </row>
    <row r="343" ht="15.75" customHeight="1">
      <c r="A343" s="35" t="s">
        <v>187</v>
      </c>
      <c r="B343" s="36" t="s">
        <v>1697</v>
      </c>
      <c r="C343" s="35" t="s">
        <v>1698</v>
      </c>
      <c r="D343" s="35" t="s">
        <v>1256</v>
      </c>
      <c r="E343" s="52" t="s">
        <v>1818</v>
      </c>
      <c r="F343" s="52" t="s">
        <v>1818</v>
      </c>
      <c r="G343" s="36" t="s">
        <v>1089</v>
      </c>
      <c r="H343" s="38" t="s">
        <v>1117</v>
      </c>
      <c r="I343" s="38" t="s">
        <v>1819</v>
      </c>
      <c r="J343" s="38"/>
      <c r="K343" s="38"/>
      <c r="L343" s="42"/>
      <c r="M343" s="42"/>
      <c r="N343" s="42"/>
      <c r="O343" s="39">
        <f t="shared" si="51"/>
        <v>0</v>
      </c>
      <c r="P343" s="38" t="s">
        <v>1098</v>
      </c>
      <c r="Q343" s="38"/>
      <c r="R343" s="37" t="s">
        <v>1159</v>
      </c>
      <c r="S343" s="38" t="s">
        <v>1105</v>
      </c>
      <c r="T343" s="36" t="s">
        <v>1112</v>
      </c>
      <c r="U343" s="36" t="str">
        <f t="shared" si="53"/>
        <v>Not Included</v>
      </c>
      <c r="V343" s="38"/>
      <c r="W343" s="38"/>
    </row>
    <row r="344" ht="80.25" customHeight="1">
      <c r="A344" s="35" t="s">
        <v>187</v>
      </c>
      <c r="B344" s="36" t="s">
        <v>1697</v>
      </c>
      <c r="C344" s="35" t="s">
        <v>1698</v>
      </c>
      <c r="D344" s="35" t="s">
        <v>1256</v>
      </c>
      <c r="E344" s="52" t="s">
        <v>1820</v>
      </c>
      <c r="F344" s="52" t="s">
        <v>1820</v>
      </c>
      <c r="G344" s="36" t="s">
        <v>1089</v>
      </c>
      <c r="H344" s="38" t="s">
        <v>1117</v>
      </c>
      <c r="I344" s="38" t="s">
        <v>1821</v>
      </c>
      <c r="J344" s="38"/>
      <c r="K344" s="38"/>
      <c r="L344" s="42"/>
      <c r="M344" s="42"/>
      <c r="N344" s="42"/>
      <c r="O344" s="39">
        <f t="shared" si="51"/>
        <v>0</v>
      </c>
      <c r="P344" s="38" t="s">
        <v>1098</v>
      </c>
      <c r="Q344" s="38"/>
      <c r="R344" s="37" t="s">
        <v>1092</v>
      </c>
      <c r="S344" s="38" t="s">
        <v>1105</v>
      </c>
      <c r="T344" s="36" t="s">
        <v>1112</v>
      </c>
      <c r="U344" s="36" t="str">
        <f t="shared" si="53"/>
        <v>Not Included</v>
      </c>
      <c r="V344" s="38"/>
      <c r="W344" s="38"/>
    </row>
    <row r="345" ht="15.75" customHeight="1">
      <c r="A345" s="36" t="s">
        <v>187</v>
      </c>
      <c r="B345" s="36" t="s">
        <v>1697</v>
      </c>
      <c r="C345" s="35" t="s">
        <v>1698</v>
      </c>
      <c r="D345" s="35" t="s">
        <v>1256</v>
      </c>
      <c r="E345" s="54" t="s">
        <v>594</v>
      </c>
      <c r="F345" s="54" t="s">
        <v>594</v>
      </c>
      <c r="G345" s="36" t="str">
        <f t="shared" ref="G345:G346" si="54">IF(J345&lt;&gt;"CARB", "yes", "CARB")</f>
        <v>CARB</v>
      </c>
      <c r="H345" s="38" t="s">
        <v>162</v>
      </c>
      <c r="I345" s="38" t="s">
        <v>1822</v>
      </c>
      <c r="J345" s="38" t="s">
        <v>1116</v>
      </c>
      <c r="K345" s="38"/>
      <c r="L345" s="38"/>
      <c r="M345" s="38"/>
      <c r="N345" s="38"/>
      <c r="O345" s="38"/>
      <c r="P345" s="38" t="s">
        <v>1098</v>
      </c>
      <c r="Q345" s="38"/>
      <c r="R345" s="37"/>
      <c r="S345" s="38" t="s">
        <v>1105</v>
      </c>
      <c r="T345" s="38" t="s">
        <v>1112</v>
      </c>
      <c r="U345" s="38" t="s">
        <v>1728</v>
      </c>
      <c r="V345" s="37"/>
      <c r="W345" s="37"/>
    </row>
    <row r="346" ht="15.75" customHeight="1">
      <c r="A346" s="36" t="s">
        <v>187</v>
      </c>
      <c r="B346" s="36" t="s">
        <v>1697</v>
      </c>
      <c r="C346" s="35" t="s">
        <v>1698</v>
      </c>
      <c r="D346" s="35" t="s">
        <v>1256</v>
      </c>
      <c r="E346" s="86" t="s">
        <v>1823</v>
      </c>
      <c r="F346" s="86" t="s">
        <v>1824</v>
      </c>
      <c r="G346" s="36" t="str">
        <f t="shared" si="54"/>
        <v>CARB</v>
      </c>
      <c r="H346" s="38" t="s">
        <v>162</v>
      </c>
      <c r="I346" s="38" t="s">
        <v>1432</v>
      </c>
      <c r="J346" s="38" t="s">
        <v>1116</v>
      </c>
      <c r="K346" s="38"/>
      <c r="L346" s="38"/>
      <c r="M346" s="38"/>
      <c r="N346" s="38"/>
      <c r="O346" s="38"/>
      <c r="P346" s="38" t="s">
        <v>1098</v>
      </c>
      <c r="Q346" s="38"/>
      <c r="R346" s="37"/>
      <c r="S346" s="38" t="s">
        <v>1105</v>
      </c>
      <c r="T346" s="38" t="s">
        <v>1112</v>
      </c>
      <c r="U346" s="38" t="s">
        <v>1433</v>
      </c>
      <c r="V346" s="37"/>
      <c r="W346" s="37"/>
    </row>
    <row r="347" ht="89.25" customHeight="1">
      <c r="A347" s="36" t="s">
        <v>481</v>
      </c>
      <c r="B347" s="36" t="s">
        <v>1804</v>
      </c>
      <c r="C347" s="35" t="s">
        <v>1805</v>
      </c>
      <c r="D347" s="35" t="s">
        <v>1256</v>
      </c>
      <c r="E347" s="36" t="s">
        <v>523</v>
      </c>
      <c r="F347" s="36" t="s">
        <v>523</v>
      </c>
      <c r="G347" s="36" t="s">
        <v>1089</v>
      </c>
      <c r="H347" s="38" t="s">
        <v>1257</v>
      </c>
      <c r="I347" s="38" t="s">
        <v>1265</v>
      </c>
      <c r="J347" s="38" t="s">
        <v>1239</v>
      </c>
      <c r="K347" s="42"/>
      <c r="L347" s="42">
        <v>100000.0</v>
      </c>
      <c r="M347" s="42">
        <v>0.0</v>
      </c>
      <c r="N347" s="42">
        <v>0.0</v>
      </c>
      <c r="O347" s="39">
        <f t="shared" ref="O347:O362" si="55">M347+N347</f>
        <v>0</v>
      </c>
      <c r="P347" s="36">
        <f>IF(AND((M347+N347)&gt;0,L347=0),"1",IF(AND((M347+N347)=0,L347=0),0,(M347+N347)/L347))</f>
        <v>0</v>
      </c>
      <c r="Q347" s="36"/>
      <c r="R347" s="38" t="s">
        <v>1092</v>
      </c>
      <c r="S347" s="38" t="s">
        <v>1105</v>
      </c>
      <c r="T347" s="36" t="s">
        <v>1112</v>
      </c>
      <c r="U347" s="36" t="str">
        <f t="shared" ref="U347:U362" si="56">IFS(
    P347="No Funding Goal","Not Included",
    P347="Not Applicable","Not Included",
    P347&gt;=0.75,"1. Easy",
    AND(P347&lt;0.75,P347&gt;=0.5),"2. Moderate",
    P347&lt;0.5,"3. Difficult"
)</f>
        <v>3. Difficult</v>
      </c>
      <c r="V347" s="38" t="s">
        <v>1825</v>
      </c>
      <c r="W347" s="38" t="s">
        <v>1612</v>
      </c>
    </row>
    <row r="348" ht="78.75" customHeight="1">
      <c r="A348" s="36" t="s">
        <v>187</v>
      </c>
      <c r="B348" s="36" t="s">
        <v>1697</v>
      </c>
      <c r="C348" s="35" t="s">
        <v>1698</v>
      </c>
      <c r="D348" s="35" t="s">
        <v>1256</v>
      </c>
      <c r="E348" s="36" t="s">
        <v>278</v>
      </c>
      <c r="F348" s="36" t="s">
        <v>278</v>
      </c>
      <c r="G348" s="36" t="s">
        <v>1089</v>
      </c>
      <c r="H348" s="37" t="s">
        <v>1145</v>
      </c>
      <c r="I348" s="37"/>
      <c r="J348" s="38"/>
      <c r="K348" s="38"/>
      <c r="L348" s="39">
        <v>1500000.0</v>
      </c>
      <c r="M348" s="39">
        <v>658984.55</v>
      </c>
      <c r="N348" s="39">
        <v>0.0</v>
      </c>
      <c r="O348" s="39">
        <f t="shared" si="55"/>
        <v>658984.55</v>
      </c>
      <c r="P348" s="36">
        <f>IF(AND((M348+N348)&gt;0,L348=0),1,
   IF(AND((M348+N348)=0,L348=0),0,
      MIN((M348+N348)/L348,1)
   )
)
</f>
        <v>0.4393230333</v>
      </c>
      <c r="Q348" s="36"/>
      <c r="R348" s="37" t="s">
        <v>1415</v>
      </c>
      <c r="S348" s="36" t="s">
        <v>1100</v>
      </c>
      <c r="T348" s="38" t="s">
        <v>1112</v>
      </c>
      <c r="U348" s="36" t="str">
        <f t="shared" si="56"/>
        <v>3. Difficult</v>
      </c>
      <c r="V348" s="36"/>
      <c r="W348" s="36" t="s">
        <v>1826</v>
      </c>
      <c r="X348" s="68"/>
      <c r="Y348" s="68"/>
      <c r="Z348" s="68"/>
      <c r="AA348" s="68"/>
      <c r="AB348" s="68"/>
      <c r="AC348" s="68"/>
      <c r="AD348" s="68"/>
      <c r="AE348" s="68"/>
      <c r="AF348" s="68"/>
      <c r="AG348" s="68"/>
      <c r="AH348" s="68"/>
    </row>
    <row r="349" ht="83.25" customHeight="1">
      <c r="A349" s="36" t="s">
        <v>187</v>
      </c>
      <c r="B349" s="36" t="s">
        <v>1697</v>
      </c>
      <c r="C349" s="35" t="s">
        <v>1698</v>
      </c>
      <c r="D349" s="35" t="s">
        <v>1256</v>
      </c>
      <c r="E349" s="36" t="s">
        <v>311</v>
      </c>
      <c r="F349" s="36" t="s">
        <v>311</v>
      </c>
      <c r="G349" s="36" t="s">
        <v>1089</v>
      </c>
      <c r="H349" s="38" t="s">
        <v>1157</v>
      </c>
      <c r="I349" s="38" t="s">
        <v>1390</v>
      </c>
      <c r="J349" s="38" t="s">
        <v>1770</v>
      </c>
      <c r="K349" s="38"/>
      <c r="L349" s="42"/>
      <c r="M349" s="42"/>
      <c r="N349" s="42"/>
      <c r="O349" s="39">
        <f t="shared" si="55"/>
        <v>0</v>
      </c>
      <c r="P349" s="36" t="s">
        <v>1827</v>
      </c>
      <c r="Q349" s="36"/>
      <c r="R349" s="36" t="s">
        <v>1159</v>
      </c>
      <c r="S349" s="36" t="s">
        <v>1093</v>
      </c>
      <c r="T349" s="38" t="s">
        <v>1112</v>
      </c>
      <c r="U349" s="36" t="str">
        <f t="shared" si="56"/>
        <v>Not Included</v>
      </c>
      <c r="V349" s="82" t="s">
        <v>1828</v>
      </c>
      <c r="W349" s="38" t="s">
        <v>1612</v>
      </c>
    </row>
    <row r="350" ht="15.75" customHeight="1">
      <c r="A350" s="36" t="s">
        <v>187</v>
      </c>
      <c r="B350" s="36" t="s">
        <v>1697</v>
      </c>
      <c r="C350" s="35" t="s">
        <v>1698</v>
      </c>
      <c r="D350" s="35" t="s">
        <v>1256</v>
      </c>
      <c r="E350" s="36" t="s">
        <v>318</v>
      </c>
      <c r="F350" s="36" t="s">
        <v>318</v>
      </c>
      <c r="G350" s="36" t="s">
        <v>1089</v>
      </c>
      <c r="H350" s="38" t="s">
        <v>1157</v>
      </c>
      <c r="I350" s="38" t="s">
        <v>1158</v>
      </c>
      <c r="J350" s="38"/>
      <c r="K350" s="38"/>
      <c r="L350" s="42"/>
      <c r="M350" s="42"/>
      <c r="N350" s="42"/>
      <c r="O350" s="39">
        <f t="shared" si="55"/>
        <v>0</v>
      </c>
      <c r="P350" s="38" t="s">
        <v>1098</v>
      </c>
      <c r="Q350" s="36"/>
      <c r="R350" s="36" t="s">
        <v>1159</v>
      </c>
      <c r="S350" s="38" t="s">
        <v>1105</v>
      </c>
      <c r="T350" s="38" t="s">
        <v>1112</v>
      </c>
      <c r="U350" s="36" t="str">
        <f t="shared" si="56"/>
        <v>Not Included</v>
      </c>
      <c r="V350" s="38" t="s">
        <v>1829</v>
      </c>
      <c r="W350" s="38" t="s">
        <v>1612</v>
      </c>
    </row>
    <row r="351" ht="69.75" customHeight="1">
      <c r="A351" s="36" t="s">
        <v>187</v>
      </c>
      <c r="B351" s="36" t="s">
        <v>1697</v>
      </c>
      <c r="C351" s="35" t="s">
        <v>1698</v>
      </c>
      <c r="D351" s="35" t="s">
        <v>1256</v>
      </c>
      <c r="E351" s="36" t="s">
        <v>306</v>
      </c>
      <c r="F351" s="36" t="s">
        <v>306</v>
      </c>
      <c r="G351" s="36" t="s">
        <v>1089</v>
      </c>
      <c r="H351" s="37" t="s">
        <v>1162</v>
      </c>
      <c r="I351" s="37" t="s">
        <v>1163</v>
      </c>
      <c r="J351" s="38"/>
      <c r="K351" s="38"/>
      <c r="L351" s="42">
        <v>500000.0</v>
      </c>
      <c r="M351" s="42">
        <f>500000-N351</f>
        <v>124163.07</v>
      </c>
      <c r="N351" s="42">
        <v>375836.93</v>
      </c>
      <c r="O351" s="39">
        <f t="shared" si="55"/>
        <v>500000</v>
      </c>
      <c r="P351" s="36">
        <f>IF(AND((M351+N351)&gt;0,L351=0),"No Funding Goal",IF(AND((M351+N351)=0,L351=0),0,(M351+N351)/L351))</f>
        <v>1</v>
      </c>
      <c r="Q351" s="38"/>
      <c r="R351" s="38" t="s">
        <v>1564</v>
      </c>
      <c r="S351" s="38" t="s">
        <v>1105</v>
      </c>
      <c r="T351" s="38" t="s">
        <v>1112</v>
      </c>
      <c r="U351" s="36" t="str">
        <f t="shared" si="56"/>
        <v>1. Easy</v>
      </c>
      <c r="V351" s="38" t="s">
        <v>1830</v>
      </c>
      <c r="W351" s="38" t="s">
        <v>1612</v>
      </c>
    </row>
    <row r="352" ht="69.75" customHeight="1">
      <c r="A352" s="36" t="s">
        <v>187</v>
      </c>
      <c r="B352" s="36" t="s">
        <v>1697</v>
      </c>
      <c r="C352" s="35" t="s">
        <v>1698</v>
      </c>
      <c r="D352" s="35" t="s">
        <v>1256</v>
      </c>
      <c r="E352" s="36" t="s">
        <v>212</v>
      </c>
      <c r="F352" s="36" t="s">
        <v>212</v>
      </c>
      <c r="G352" s="36" t="s">
        <v>1089</v>
      </c>
      <c r="H352" s="38" t="s">
        <v>1117</v>
      </c>
      <c r="I352" s="38" t="s">
        <v>1398</v>
      </c>
      <c r="J352" s="38"/>
      <c r="K352" s="38"/>
      <c r="L352" s="42"/>
      <c r="M352" s="42"/>
      <c r="N352" s="42"/>
      <c r="O352" s="39">
        <f t="shared" si="55"/>
        <v>0</v>
      </c>
      <c r="P352" s="38" t="s">
        <v>1098</v>
      </c>
      <c r="Q352" s="38"/>
      <c r="R352" s="37" t="s">
        <v>1092</v>
      </c>
      <c r="S352" s="38" t="s">
        <v>1105</v>
      </c>
      <c r="T352" s="36" t="s">
        <v>1112</v>
      </c>
      <c r="U352" s="36" t="str">
        <f t="shared" si="56"/>
        <v>Not Included</v>
      </c>
      <c r="V352" s="38" t="s">
        <v>1831</v>
      </c>
      <c r="W352" s="38" t="s">
        <v>1612</v>
      </c>
    </row>
    <row r="353" ht="69.75" customHeight="1">
      <c r="A353" s="35" t="s">
        <v>187</v>
      </c>
      <c r="B353" s="36" t="s">
        <v>1697</v>
      </c>
      <c r="C353" s="35" t="s">
        <v>1698</v>
      </c>
      <c r="D353" s="35" t="s">
        <v>1256</v>
      </c>
      <c r="E353" s="52" t="s">
        <v>1832</v>
      </c>
      <c r="F353" s="38"/>
      <c r="G353" s="38" t="s">
        <v>1089</v>
      </c>
      <c r="H353" s="37" t="s">
        <v>1309</v>
      </c>
      <c r="I353" s="37" t="s">
        <v>1833</v>
      </c>
      <c r="J353" s="38"/>
      <c r="K353" s="38"/>
      <c r="L353" s="39">
        <v>0.0</v>
      </c>
      <c r="M353" s="39"/>
      <c r="N353" s="39">
        <v>0.0</v>
      </c>
      <c r="O353" s="39">
        <f t="shared" si="55"/>
        <v>0</v>
      </c>
      <c r="P353" s="36">
        <f t="shared" ref="P353:P355" si="57">IF(AND((M353+N353)&gt;0,L353=0),"No Funding Goal",IF(AND((M353+N353)=0,L353=0),0,(M353+N353)/L353))</f>
        <v>0</v>
      </c>
      <c r="Q353" s="36"/>
      <c r="R353" s="36" t="s">
        <v>1243</v>
      </c>
      <c r="S353" s="36" t="s">
        <v>1093</v>
      </c>
      <c r="T353" s="36" t="s">
        <v>1094</v>
      </c>
      <c r="U353" s="36" t="str">
        <f t="shared" si="56"/>
        <v>3. Difficult</v>
      </c>
      <c r="V353" s="63" t="s">
        <v>1834</v>
      </c>
      <c r="W353" s="37" t="s">
        <v>1792</v>
      </c>
      <c r="X353" s="40"/>
      <c r="Y353" s="40"/>
      <c r="Z353" s="40"/>
      <c r="AA353" s="40"/>
      <c r="AB353" s="40"/>
      <c r="AC353" s="40"/>
      <c r="AD353" s="40"/>
      <c r="AE353" s="40"/>
      <c r="AF353" s="40"/>
      <c r="AG353" s="40"/>
      <c r="AH353" s="40"/>
      <c r="AI353" s="40"/>
    </row>
    <row r="354" ht="69.75" customHeight="1">
      <c r="A354" s="35" t="s">
        <v>187</v>
      </c>
      <c r="B354" s="36" t="s">
        <v>1697</v>
      </c>
      <c r="C354" s="35" t="s">
        <v>1698</v>
      </c>
      <c r="D354" s="35" t="s">
        <v>1256</v>
      </c>
      <c r="E354" s="37" t="s">
        <v>1835</v>
      </c>
      <c r="F354" s="38"/>
      <c r="G354" s="38" t="s">
        <v>1089</v>
      </c>
      <c r="H354" s="37" t="s">
        <v>1309</v>
      </c>
      <c r="I354" s="37" t="s">
        <v>1797</v>
      </c>
      <c r="J354" s="38"/>
      <c r="K354" s="38"/>
      <c r="L354" s="39">
        <v>0.0</v>
      </c>
      <c r="M354" s="39"/>
      <c r="N354" s="39">
        <v>0.0</v>
      </c>
      <c r="O354" s="39">
        <f t="shared" si="55"/>
        <v>0</v>
      </c>
      <c r="P354" s="36">
        <f t="shared" si="57"/>
        <v>0</v>
      </c>
      <c r="Q354" s="36"/>
      <c r="R354" s="36" t="s">
        <v>1243</v>
      </c>
      <c r="S354" s="36" t="s">
        <v>1093</v>
      </c>
      <c r="T354" s="36" t="s">
        <v>1094</v>
      </c>
      <c r="U354" s="36" t="str">
        <f t="shared" si="56"/>
        <v>3. Difficult</v>
      </c>
      <c r="V354" s="63" t="s">
        <v>1836</v>
      </c>
      <c r="W354" s="37" t="s">
        <v>1792</v>
      </c>
      <c r="X354" s="40"/>
      <c r="Y354" s="40"/>
      <c r="Z354" s="40"/>
      <c r="AA354" s="40"/>
      <c r="AB354" s="40"/>
      <c r="AC354" s="40"/>
      <c r="AD354" s="40"/>
      <c r="AE354" s="40"/>
      <c r="AF354" s="40"/>
      <c r="AG354" s="40"/>
      <c r="AH354" s="40"/>
      <c r="AI354" s="40"/>
    </row>
    <row r="355" ht="69.75" customHeight="1">
      <c r="A355" s="35" t="s">
        <v>187</v>
      </c>
      <c r="B355" s="36" t="s">
        <v>1697</v>
      </c>
      <c r="C355" s="35" t="s">
        <v>1698</v>
      </c>
      <c r="D355" s="35" t="s">
        <v>1256</v>
      </c>
      <c r="E355" s="36" t="s">
        <v>234</v>
      </c>
      <c r="F355" s="38"/>
      <c r="G355" s="38" t="s">
        <v>1089</v>
      </c>
      <c r="H355" s="36" t="s">
        <v>1090</v>
      </c>
      <c r="I355" s="36" t="s">
        <v>1091</v>
      </c>
      <c r="J355" s="38"/>
      <c r="K355" s="38"/>
      <c r="L355" s="39">
        <v>3500000.0</v>
      </c>
      <c r="M355" s="39"/>
      <c r="N355" s="39">
        <v>0.0</v>
      </c>
      <c r="O355" s="39">
        <f t="shared" si="55"/>
        <v>0</v>
      </c>
      <c r="P355" s="36">
        <f t="shared" si="57"/>
        <v>0</v>
      </c>
      <c r="Q355" s="36"/>
      <c r="R355" s="38" t="s">
        <v>1092</v>
      </c>
      <c r="S355" s="38" t="s">
        <v>1093</v>
      </c>
      <c r="T355" s="38" t="s">
        <v>1094</v>
      </c>
      <c r="U355" s="36" t="str">
        <f t="shared" si="56"/>
        <v>3. Difficult</v>
      </c>
      <c r="V355" s="36" t="s">
        <v>1837</v>
      </c>
      <c r="W355" s="36" t="s">
        <v>1803</v>
      </c>
      <c r="X355" s="45"/>
      <c r="Y355" s="45"/>
      <c r="Z355" s="45"/>
      <c r="AA355" s="40"/>
      <c r="AB355" s="40"/>
      <c r="AC355" s="40"/>
      <c r="AD355" s="40"/>
      <c r="AE355" s="40"/>
      <c r="AF355" s="40"/>
      <c r="AG355" s="40"/>
      <c r="AH355" s="40"/>
      <c r="AI355" s="40"/>
    </row>
    <row r="356" ht="69.75" customHeight="1">
      <c r="A356" s="36" t="s">
        <v>187</v>
      </c>
      <c r="B356" s="36" t="s">
        <v>1697</v>
      </c>
      <c r="C356" s="35" t="s">
        <v>1698</v>
      </c>
      <c r="D356" s="35" t="s">
        <v>1256</v>
      </c>
      <c r="E356" s="36" t="s">
        <v>208</v>
      </c>
      <c r="F356" s="36" t="s">
        <v>208</v>
      </c>
      <c r="G356" s="36" t="s">
        <v>1089</v>
      </c>
      <c r="H356" s="38" t="s">
        <v>1117</v>
      </c>
      <c r="I356" s="38" t="s">
        <v>1118</v>
      </c>
      <c r="J356" s="38"/>
      <c r="K356" s="38"/>
      <c r="L356" s="42"/>
      <c r="M356" s="42"/>
      <c r="N356" s="42"/>
      <c r="O356" s="39">
        <f t="shared" si="55"/>
        <v>0</v>
      </c>
      <c r="P356" s="38" t="s">
        <v>1098</v>
      </c>
      <c r="Q356" s="38"/>
      <c r="R356" s="37" t="s">
        <v>1092</v>
      </c>
      <c r="S356" s="38" t="s">
        <v>1105</v>
      </c>
      <c r="T356" s="36" t="s">
        <v>1112</v>
      </c>
      <c r="U356" s="36" t="str">
        <f t="shared" si="56"/>
        <v>Not Included</v>
      </c>
      <c r="V356" s="38" t="s">
        <v>1838</v>
      </c>
      <c r="W356" s="38" t="s">
        <v>1612</v>
      </c>
    </row>
    <row r="357" ht="69.75" customHeight="1">
      <c r="A357" s="35" t="s">
        <v>187</v>
      </c>
      <c r="B357" s="36" t="s">
        <v>1697</v>
      </c>
      <c r="C357" s="35" t="s">
        <v>1698</v>
      </c>
      <c r="D357" s="35" t="s">
        <v>1256</v>
      </c>
      <c r="E357" s="36" t="s">
        <v>230</v>
      </c>
      <c r="F357" s="38"/>
      <c r="G357" s="38" t="s">
        <v>1089</v>
      </c>
      <c r="H357" s="36" t="s">
        <v>1090</v>
      </c>
      <c r="I357" s="74" t="s">
        <v>1312</v>
      </c>
      <c r="J357" s="38"/>
      <c r="K357" s="38"/>
      <c r="L357" s="39">
        <v>7500000.0</v>
      </c>
      <c r="M357" s="39">
        <f>7500000-N357</f>
        <v>3318472.03</v>
      </c>
      <c r="N357" s="39">
        <v>4181527.97</v>
      </c>
      <c r="O357" s="39">
        <f t="shared" si="55"/>
        <v>7500000</v>
      </c>
      <c r="P357" s="36">
        <f>IF(AND((M357+N357)&gt;0,L357=0),"No Funding Goal",IF(AND((M357+N357)=0,L357=0),0,(M357+N357)/L357))</f>
        <v>1</v>
      </c>
      <c r="Q357" s="36"/>
      <c r="R357" s="38" t="s">
        <v>1092</v>
      </c>
      <c r="S357" s="38" t="s">
        <v>1093</v>
      </c>
      <c r="T357" s="38" t="s">
        <v>1094</v>
      </c>
      <c r="U357" s="36" t="str">
        <f t="shared" si="56"/>
        <v>1. Easy</v>
      </c>
      <c r="V357" s="38"/>
      <c r="W357" s="36" t="s">
        <v>1803</v>
      </c>
      <c r="X357" s="8"/>
      <c r="Y357" s="8"/>
      <c r="Z357" s="40"/>
      <c r="AA357" s="40"/>
      <c r="AB357" s="40"/>
      <c r="AC357" s="40"/>
      <c r="AD357" s="40"/>
      <c r="AE357" s="40"/>
      <c r="AF357" s="40"/>
      <c r="AG357" s="40"/>
      <c r="AH357" s="40"/>
      <c r="AI357" s="40"/>
    </row>
    <row r="358" ht="69.75" customHeight="1">
      <c r="A358" s="35" t="s">
        <v>187</v>
      </c>
      <c r="B358" s="36" t="s">
        <v>1697</v>
      </c>
      <c r="C358" s="35" t="s">
        <v>1698</v>
      </c>
      <c r="D358" s="35" t="s">
        <v>1256</v>
      </c>
      <c r="E358" s="41" t="s">
        <v>1839</v>
      </c>
      <c r="F358" s="38" t="s">
        <v>1840</v>
      </c>
      <c r="G358" s="36" t="s">
        <v>1089</v>
      </c>
      <c r="H358" s="38" t="s">
        <v>1314</v>
      </c>
      <c r="I358" s="38" t="s">
        <v>1713</v>
      </c>
      <c r="J358" s="38" t="s">
        <v>1841</v>
      </c>
      <c r="K358" s="38"/>
      <c r="L358" s="42">
        <v>0.0</v>
      </c>
      <c r="M358" s="42"/>
      <c r="N358" s="42">
        <v>0.0</v>
      </c>
      <c r="O358" s="39">
        <f t="shared" si="55"/>
        <v>0</v>
      </c>
      <c r="P358" s="36" t="s">
        <v>1098</v>
      </c>
      <c r="Q358" s="36"/>
      <c r="R358" s="38" t="s">
        <v>1243</v>
      </c>
      <c r="S358" s="38" t="s">
        <v>1105</v>
      </c>
      <c r="T358" s="38" t="s">
        <v>1094</v>
      </c>
      <c r="U358" s="36" t="str">
        <f t="shared" si="56"/>
        <v>Not Included</v>
      </c>
      <c r="V358" s="38"/>
      <c r="W358" s="38" t="s">
        <v>1842</v>
      </c>
      <c r="AI358" s="50"/>
    </row>
    <row r="359" ht="69.75" customHeight="1">
      <c r="A359" s="36" t="s">
        <v>187</v>
      </c>
      <c r="B359" s="36" t="s">
        <v>1697</v>
      </c>
      <c r="C359" s="35" t="s">
        <v>1698</v>
      </c>
      <c r="D359" s="35" t="s">
        <v>1256</v>
      </c>
      <c r="E359" s="36" t="s">
        <v>282</v>
      </c>
      <c r="F359" s="36" t="s">
        <v>282</v>
      </c>
      <c r="G359" s="36" t="str">
        <f>IF(J359&lt;&gt;"CARB", "yes", "CARB")</f>
        <v>yes</v>
      </c>
      <c r="H359" s="38" t="s">
        <v>162</v>
      </c>
      <c r="I359" s="38" t="s">
        <v>1136</v>
      </c>
      <c r="J359" s="38" t="s">
        <v>1843</v>
      </c>
      <c r="K359" s="38"/>
      <c r="L359" s="42"/>
      <c r="M359" s="42"/>
      <c r="N359" s="42"/>
      <c r="O359" s="39">
        <f t="shared" si="55"/>
        <v>0</v>
      </c>
      <c r="P359" s="38" t="s">
        <v>1098</v>
      </c>
      <c r="Q359" s="38"/>
      <c r="R359" s="38" t="s">
        <v>1092</v>
      </c>
      <c r="S359" s="38" t="s">
        <v>1100</v>
      </c>
      <c r="T359" s="38" t="s">
        <v>1112</v>
      </c>
      <c r="U359" s="36" t="str">
        <f t="shared" si="56"/>
        <v>Not Included</v>
      </c>
      <c r="V359" s="36" t="s">
        <v>1844</v>
      </c>
      <c r="W359" s="38" t="s">
        <v>1845</v>
      </c>
      <c r="Z359" s="68"/>
    </row>
    <row r="360" ht="69.75" customHeight="1">
      <c r="A360" s="36" t="s">
        <v>187</v>
      </c>
      <c r="B360" s="36" t="s">
        <v>1697</v>
      </c>
      <c r="C360" s="35" t="s">
        <v>1698</v>
      </c>
      <c r="D360" s="35" t="s">
        <v>1256</v>
      </c>
      <c r="E360" s="36" t="s">
        <v>291</v>
      </c>
      <c r="F360" s="36" t="s">
        <v>291</v>
      </c>
      <c r="G360" s="36" t="s">
        <v>1089</v>
      </c>
      <c r="H360" s="38" t="s">
        <v>162</v>
      </c>
      <c r="I360" s="38" t="s">
        <v>1789</v>
      </c>
      <c r="J360" s="38"/>
      <c r="K360" s="42"/>
      <c r="L360" s="42"/>
      <c r="M360" s="42"/>
      <c r="N360" s="42"/>
      <c r="O360" s="39">
        <f t="shared" si="55"/>
        <v>0</v>
      </c>
      <c r="P360" s="36" t="s">
        <v>1098</v>
      </c>
      <c r="Q360" s="36"/>
      <c r="R360" s="37" t="s">
        <v>1092</v>
      </c>
      <c r="S360" s="38" t="s">
        <v>1100</v>
      </c>
      <c r="T360" s="38" t="s">
        <v>1112</v>
      </c>
      <c r="U360" s="36" t="str">
        <f t="shared" si="56"/>
        <v>Not Included</v>
      </c>
      <c r="V360" s="38" t="s">
        <v>1846</v>
      </c>
      <c r="W360" s="38" t="s">
        <v>1612</v>
      </c>
    </row>
    <row r="361" ht="69.75" customHeight="1">
      <c r="A361" s="36" t="s">
        <v>187</v>
      </c>
      <c r="B361" s="36" t="s">
        <v>1697</v>
      </c>
      <c r="C361" s="35" t="s">
        <v>1698</v>
      </c>
      <c r="D361" s="35" t="s">
        <v>1256</v>
      </c>
      <c r="E361" s="36" t="s">
        <v>190</v>
      </c>
      <c r="F361" s="36" t="s">
        <v>190</v>
      </c>
      <c r="G361" s="36" t="str">
        <f>IF(J361&lt;&gt;"CARB", "yes", "CARB")</f>
        <v>yes</v>
      </c>
      <c r="H361" s="38" t="s">
        <v>162</v>
      </c>
      <c r="I361" s="38" t="s">
        <v>1523</v>
      </c>
      <c r="J361" s="38"/>
      <c r="K361" s="38"/>
      <c r="L361" s="42"/>
      <c r="M361" s="42"/>
      <c r="N361" s="42"/>
      <c r="O361" s="39">
        <f t="shared" si="55"/>
        <v>0</v>
      </c>
      <c r="P361" s="38" t="s">
        <v>1098</v>
      </c>
      <c r="Q361" s="38"/>
      <c r="R361" s="38" t="s">
        <v>1092</v>
      </c>
      <c r="S361" s="38" t="s">
        <v>1100</v>
      </c>
      <c r="T361" s="38" t="s">
        <v>1112</v>
      </c>
      <c r="U361" s="36" t="str">
        <f t="shared" si="56"/>
        <v>Not Included</v>
      </c>
      <c r="V361" s="38" t="s">
        <v>1847</v>
      </c>
      <c r="W361" s="38" t="s">
        <v>1845</v>
      </c>
    </row>
    <row r="362" ht="69.75" customHeight="1">
      <c r="A362" s="36" t="s">
        <v>187</v>
      </c>
      <c r="B362" s="36" t="s">
        <v>1697</v>
      </c>
      <c r="C362" s="35" t="s">
        <v>1698</v>
      </c>
      <c r="D362" s="35" t="s">
        <v>1256</v>
      </c>
      <c r="E362" s="36" t="s">
        <v>288</v>
      </c>
      <c r="F362" s="36" t="s">
        <v>288</v>
      </c>
      <c r="G362" s="36" t="s">
        <v>1089</v>
      </c>
      <c r="H362" s="38" t="s">
        <v>162</v>
      </c>
      <c r="I362" s="38" t="s">
        <v>1848</v>
      </c>
      <c r="J362" s="38"/>
      <c r="K362" s="38"/>
      <c r="L362" s="42"/>
      <c r="M362" s="42"/>
      <c r="N362" s="42"/>
      <c r="O362" s="39">
        <f t="shared" si="55"/>
        <v>0</v>
      </c>
      <c r="P362" s="36" t="s">
        <v>1098</v>
      </c>
      <c r="Q362" s="36"/>
      <c r="R362" s="37" t="s">
        <v>1092</v>
      </c>
      <c r="S362" s="36" t="s">
        <v>1100</v>
      </c>
      <c r="T362" s="38" t="s">
        <v>1112</v>
      </c>
      <c r="U362" s="36" t="str">
        <f t="shared" si="56"/>
        <v>Not Included</v>
      </c>
      <c r="V362" s="36" t="s">
        <v>1849</v>
      </c>
      <c r="W362" s="36" t="s">
        <v>1612</v>
      </c>
      <c r="X362" s="55"/>
      <c r="Y362" s="55"/>
    </row>
    <row r="363" ht="69.75" customHeight="1">
      <c r="A363" s="36" t="s">
        <v>187</v>
      </c>
      <c r="B363" s="36" t="s">
        <v>1697</v>
      </c>
      <c r="C363" s="35" t="s">
        <v>1698</v>
      </c>
      <c r="D363" s="35" t="s">
        <v>1256</v>
      </c>
      <c r="E363" s="36" t="s">
        <v>856</v>
      </c>
      <c r="F363" s="36" t="s">
        <v>856</v>
      </c>
      <c r="G363" s="38" t="s">
        <v>1116</v>
      </c>
      <c r="H363" s="38" t="s">
        <v>162</v>
      </c>
      <c r="I363" s="38" t="s">
        <v>1850</v>
      </c>
      <c r="J363" s="38" t="s">
        <v>1851</v>
      </c>
      <c r="L363" s="38"/>
      <c r="M363" s="38"/>
      <c r="N363" s="38"/>
      <c r="O363" s="38"/>
      <c r="P363" s="38" t="s">
        <v>1098</v>
      </c>
      <c r="Q363" s="38"/>
      <c r="R363" s="37"/>
      <c r="S363" s="38" t="s">
        <v>1100</v>
      </c>
      <c r="T363" s="38" t="s">
        <v>1112</v>
      </c>
      <c r="U363" s="38"/>
      <c r="V363" s="37"/>
      <c r="W363" s="38" t="s">
        <v>1845</v>
      </c>
    </row>
    <row r="364" ht="15.75" customHeight="1">
      <c r="A364" s="36" t="s">
        <v>187</v>
      </c>
      <c r="B364" s="36" t="s">
        <v>1697</v>
      </c>
      <c r="C364" s="35" t="s">
        <v>1698</v>
      </c>
      <c r="D364" s="35" t="s">
        <v>1256</v>
      </c>
      <c r="E364" s="36" t="s">
        <v>786</v>
      </c>
      <c r="F364" s="36" t="s">
        <v>786</v>
      </c>
      <c r="G364" s="38" t="s">
        <v>1116</v>
      </c>
      <c r="H364" s="38" t="s">
        <v>162</v>
      </c>
      <c r="I364" s="38" t="s">
        <v>1122</v>
      </c>
      <c r="J364" s="38"/>
      <c r="K364" s="38"/>
      <c r="L364" s="38"/>
      <c r="M364" s="38"/>
      <c r="N364" s="38"/>
      <c r="O364" s="38"/>
      <c r="P364" s="38" t="s">
        <v>1098</v>
      </c>
      <c r="Q364" s="38"/>
      <c r="R364" s="36"/>
      <c r="S364" s="38" t="s">
        <v>1105</v>
      </c>
      <c r="T364" s="38" t="s">
        <v>1112</v>
      </c>
      <c r="U364" s="38" t="s">
        <v>1433</v>
      </c>
      <c r="V364" s="36"/>
      <c r="W364" s="38"/>
      <c r="Z364" s="68"/>
      <c r="AA364" s="68"/>
      <c r="AB364" s="68"/>
      <c r="AC364" s="68"/>
      <c r="AD364" s="68"/>
      <c r="AE364" s="68"/>
      <c r="AF364" s="68"/>
      <c r="AG364" s="68"/>
      <c r="AH364" s="68"/>
    </row>
    <row r="365" ht="58.5" customHeight="1">
      <c r="A365" s="36" t="s">
        <v>187</v>
      </c>
      <c r="B365" s="36" t="s">
        <v>1697</v>
      </c>
      <c r="C365" s="35" t="s">
        <v>1698</v>
      </c>
      <c r="D365" s="35" t="s">
        <v>1256</v>
      </c>
      <c r="E365" s="36" t="s">
        <v>778</v>
      </c>
      <c r="F365" s="36" t="s">
        <v>778</v>
      </c>
      <c r="G365" s="38" t="s">
        <v>1116</v>
      </c>
      <c r="H365" s="38" t="s">
        <v>162</v>
      </c>
      <c r="I365" s="38" t="s">
        <v>1852</v>
      </c>
      <c r="J365" s="38"/>
      <c r="K365" s="38"/>
      <c r="L365" s="38"/>
      <c r="M365" s="38"/>
      <c r="N365" s="38"/>
      <c r="O365" s="38"/>
      <c r="P365" s="38" t="s">
        <v>1098</v>
      </c>
      <c r="Q365" s="38"/>
      <c r="R365" s="37"/>
      <c r="S365" s="38" t="s">
        <v>1105</v>
      </c>
      <c r="T365" s="38" t="s">
        <v>1112</v>
      </c>
      <c r="U365" s="38" t="s">
        <v>1433</v>
      </c>
      <c r="V365" s="38" t="s">
        <v>1853</v>
      </c>
      <c r="W365" s="38" t="s">
        <v>1612</v>
      </c>
    </row>
    <row r="366" ht="120.75" customHeight="1">
      <c r="A366" s="36" t="s">
        <v>187</v>
      </c>
      <c r="B366" s="36" t="s">
        <v>1697</v>
      </c>
      <c r="C366" s="35" t="s">
        <v>1698</v>
      </c>
      <c r="D366" s="35" t="s">
        <v>1256</v>
      </c>
      <c r="E366" s="36" t="s">
        <v>759</v>
      </c>
      <c r="F366" s="36" t="s">
        <v>759</v>
      </c>
      <c r="G366" s="36" t="s">
        <v>1116</v>
      </c>
      <c r="H366" s="37" t="s">
        <v>1129</v>
      </c>
      <c r="I366" s="37"/>
      <c r="J366" s="38"/>
      <c r="K366" s="38"/>
      <c r="L366" s="38"/>
      <c r="M366" s="38"/>
      <c r="N366" s="38"/>
      <c r="O366" s="38"/>
      <c r="P366" s="38" t="s">
        <v>1098</v>
      </c>
      <c r="Q366" s="38"/>
      <c r="R366" s="37"/>
      <c r="S366" s="38" t="s">
        <v>1105</v>
      </c>
      <c r="T366" s="38" t="s">
        <v>1112</v>
      </c>
      <c r="U366" s="38" t="s">
        <v>1433</v>
      </c>
      <c r="V366" s="37"/>
      <c r="W366" s="37"/>
    </row>
    <row r="367" ht="120.75" customHeight="1">
      <c r="A367" s="36" t="s">
        <v>187</v>
      </c>
      <c r="B367" s="36" t="s">
        <v>1697</v>
      </c>
      <c r="C367" s="35" t="s">
        <v>1698</v>
      </c>
      <c r="D367" s="35" t="s">
        <v>1256</v>
      </c>
      <c r="E367" s="36" t="s">
        <v>722</v>
      </c>
      <c r="F367" s="36" t="s">
        <v>722</v>
      </c>
      <c r="G367" s="36" t="s">
        <v>1116</v>
      </c>
      <c r="H367" s="37" t="s">
        <v>1129</v>
      </c>
      <c r="I367" s="37"/>
      <c r="J367" s="38"/>
      <c r="K367" s="38"/>
      <c r="L367" s="38"/>
      <c r="M367" s="38"/>
      <c r="N367" s="38"/>
      <c r="O367" s="38"/>
      <c r="P367" s="38" t="s">
        <v>1098</v>
      </c>
      <c r="Q367" s="38"/>
      <c r="R367" s="37"/>
      <c r="S367" s="38" t="s">
        <v>1105</v>
      </c>
      <c r="T367" s="38" t="s">
        <v>1112</v>
      </c>
      <c r="U367" s="38" t="s">
        <v>1433</v>
      </c>
      <c r="V367" s="37"/>
      <c r="W367" s="37"/>
    </row>
    <row r="368" ht="15.75" customHeight="1">
      <c r="A368" s="36" t="s">
        <v>187</v>
      </c>
      <c r="B368" s="36" t="s">
        <v>1697</v>
      </c>
      <c r="C368" s="35" t="s">
        <v>1698</v>
      </c>
      <c r="D368" s="35" t="s">
        <v>1256</v>
      </c>
      <c r="E368" s="36" t="s">
        <v>302</v>
      </c>
      <c r="F368" s="36" t="s">
        <v>302</v>
      </c>
      <c r="G368" s="36" t="s">
        <v>1089</v>
      </c>
      <c r="H368" s="37" t="s">
        <v>162</v>
      </c>
      <c r="I368" s="37" t="s">
        <v>1239</v>
      </c>
      <c r="J368" s="38"/>
      <c r="K368" s="38"/>
      <c r="L368" s="42"/>
      <c r="M368" s="42"/>
      <c r="N368" s="42"/>
      <c r="O368" s="39">
        <f t="shared" ref="O368:O377" si="58">M368+N368</f>
        <v>0</v>
      </c>
      <c r="P368" s="36" t="s">
        <v>1098</v>
      </c>
      <c r="Q368" s="38"/>
      <c r="R368" s="37" t="s">
        <v>1092</v>
      </c>
      <c r="S368" s="38" t="s">
        <v>1105</v>
      </c>
      <c r="T368" s="38" t="s">
        <v>1112</v>
      </c>
      <c r="U368" s="36" t="str">
        <f t="shared" ref="U368:U377" si="59">IFS(
    P368="No Funding Goal","Not Included",
    P368="Not Applicable","Not Included",
    P368&gt;=0.75,"1. Easy",
    AND(P368&lt;0.75,P368&gt;=0.5),"2. Moderate",
    P368&lt;0.5,"3. Difficult"
)</f>
        <v>Not Included</v>
      </c>
      <c r="V368" s="38" t="s">
        <v>1854</v>
      </c>
      <c r="W368" s="38" t="s">
        <v>1612</v>
      </c>
    </row>
    <row r="369" ht="15.75" customHeight="1">
      <c r="A369" s="36" t="s">
        <v>187</v>
      </c>
      <c r="B369" s="36" t="s">
        <v>1697</v>
      </c>
      <c r="C369" s="35" t="s">
        <v>1698</v>
      </c>
      <c r="D369" s="35" t="s">
        <v>1256</v>
      </c>
      <c r="E369" s="36" t="s">
        <v>256</v>
      </c>
      <c r="F369" s="36" t="s">
        <v>256</v>
      </c>
      <c r="G369" s="36" t="s">
        <v>1089</v>
      </c>
      <c r="H369" s="38" t="s">
        <v>1777</v>
      </c>
      <c r="I369" s="38"/>
      <c r="J369" s="38"/>
      <c r="K369" s="42"/>
      <c r="L369" s="42">
        <v>375000.0</v>
      </c>
      <c r="M369" s="42"/>
      <c r="N369" s="42">
        <v>73710.0</v>
      </c>
      <c r="O369" s="39">
        <f t="shared" si="58"/>
        <v>73710</v>
      </c>
      <c r="P369" s="36">
        <f>IF(AND((M369+N369)&gt;0,L369=0),"No Funding Goal",IF(AND((M369+N369)=0,L369=0),0,(M369+N369)/L369))</f>
        <v>0.19656</v>
      </c>
      <c r="Q369" s="36"/>
      <c r="R369" s="37" t="s">
        <v>1780</v>
      </c>
      <c r="S369" s="38" t="s">
        <v>1093</v>
      </c>
      <c r="T369" s="38" t="s">
        <v>1112</v>
      </c>
      <c r="U369" s="36" t="str">
        <f t="shared" si="59"/>
        <v>3. Difficult</v>
      </c>
      <c r="V369" s="36" t="s">
        <v>1855</v>
      </c>
      <c r="W369" s="36"/>
      <c r="X369" s="50"/>
      <c r="Y369" s="50"/>
      <c r="Z369" s="87"/>
      <c r="AA369" s="50"/>
      <c r="AB369" s="50"/>
      <c r="AC369" s="50"/>
      <c r="AD369" s="50"/>
      <c r="AE369" s="50"/>
      <c r="AF369" s="50"/>
      <c r="AG369" s="50"/>
      <c r="AH369" s="50"/>
      <c r="AI369" s="68"/>
    </row>
    <row r="370" ht="72.0" customHeight="1">
      <c r="A370" s="35" t="s">
        <v>187</v>
      </c>
      <c r="B370" s="36" t="s">
        <v>1697</v>
      </c>
      <c r="C370" s="35" t="s">
        <v>1698</v>
      </c>
      <c r="D370" s="35" t="s">
        <v>1256</v>
      </c>
      <c r="E370" s="37" t="s">
        <v>1856</v>
      </c>
      <c r="F370" s="37"/>
      <c r="G370" s="36" t="s">
        <v>1089</v>
      </c>
      <c r="H370" s="37" t="s">
        <v>1097</v>
      </c>
      <c r="I370" s="37" t="s">
        <v>1720</v>
      </c>
      <c r="J370" s="38"/>
      <c r="K370" s="38"/>
      <c r="L370" s="39"/>
      <c r="M370" s="39"/>
      <c r="N370" s="39"/>
      <c r="O370" s="39">
        <f t="shared" si="58"/>
        <v>0</v>
      </c>
      <c r="P370" s="38" t="s">
        <v>1098</v>
      </c>
      <c r="Q370" s="38"/>
      <c r="R370" s="36" t="s">
        <v>1857</v>
      </c>
      <c r="S370" s="36" t="s">
        <v>1105</v>
      </c>
      <c r="T370" s="38" t="s">
        <v>1112</v>
      </c>
      <c r="U370" s="36" t="str">
        <f t="shared" si="59"/>
        <v>Not Included</v>
      </c>
      <c r="V370" s="63" t="s">
        <v>1858</v>
      </c>
      <c r="W370" s="37" t="s">
        <v>1792</v>
      </c>
      <c r="X370" s="40"/>
      <c r="Y370" s="40"/>
      <c r="Z370" s="40"/>
      <c r="AA370" s="40"/>
      <c r="AB370" s="40"/>
      <c r="AC370" s="40"/>
      <c r="AD370" s="40"/>
      <c r="AE370" s="40"/>
      <c r="AF370" s="40"/>
      <c r="AG370" s="40"/>
      <c r="AH370" s="40"/>
      <c r="AI370" s="40"/>
    </row>
    <row r="371" ht="72.0" customHeight="1">
      <c r="A371" s="36" t="s">
        <v>187</v>
      </c>
      <c r="B371" s="36" t="s">
        <v>1697</v>
      </c>
      <c r="C371" s="35" t="s">
        <v>1698</v>
      </c>
      <c r="D371" s="35" t="s">
        <v>1256</v>
      </c>
      <c r="E371" s="36" t="s">
        <v>275</v>
      </c>
      <c r="F371" s="36" t="s">
        <v>275</v>
      </c>
      <c r="G371" s="36" t="s">
        <v>1089</v>
      </c>
      <c r="H371" s="38" t="s">
        <v>153</v>
      </c>
      <c r="I371" s="38" t="s">
        <v>1241</v>
      </c>
      <c r="J371" s="42" t="s">
        <v>1244</v>
      </c>
      <c r="K371" s="42">
        <v>4100000.0</v>
      </c>
      <c r="L371" s="42">
        <v>4100000.0</v>
      </c>
      <c r="M371" s="42">
        <v>358991.0</v>
      </c>
      <c r="N371" s="42">
        <v>0.0</v>
      </c>
      <c r="O371" s="39">
        <f t="shared" si="58"/>
        <v>358991</v>
      </c>
      <c r="P371" s="36">
        <f>IF(AND((M371+N371)&gt;0,L371=0),"No Funding Goal",IF(AND((M371+N371)=0,L371=0),0,(M371+N371)/L371))</f>
        <v>0.08755878049</v>
      </c>
      <c r="Q371" s="36"/>
      <c r="R371" s="37" t="s">
        <v>1243</v>
      </c>
      <c r="S371" s="38" t="s">
        <v>1093</v>
      </c>
      <c r="T371" s="38" t="s">
        <v>1094</v>
      </c>
      <c r="U371" s="36" t="str">
        <f t="shared" si="59"/>
        <v>3. Difficult</v>
      </c>
      <c r="V371" s="37"/>
      <c r="W371" s="37"/>
      <c r="AI371" s="51"/>
    </row>
    <row r="372" ht="72.0" customHeight="1">
      <c r="A372" s="35" t="s">
        <v>187</v>
      </c>
      <c r="B372" s="36" t="s">
        <v>1697</v>
      </c>
      <c r="C372" s="35" t="s">
        <v>1698</v>
      </c>
      <c r="D372" s="35" t="s">
        <v>1256</v>
      </c>
      <c r="E372" s="37" t="s">
        <v>1859</v>
      </c>
      <c r="F372" s="37"/>
      <c r="G372" s="36" t="s">
        <v>1089</v>
      </c>
      <c r="H372" s="37" t="s">
        <v>1097</v>
      </c>
      <c r="I372" s="37" t="s">
        <v>1763</v>
      </c>
      <c r="J372" s="38" t="s">
        <v>1860</v>
      </c>
      <c r="K372" s="38"/>
      <c r="L372" s="39"/>
      <c r="M372" s="39"/>
      <c r="N372" s="39"/>
      <c r="O372" s="39">
        <f t="shared" si="58"/>
        <v>0</v>
      </c>
      <c r="P372" s="38" t="s">
        <v>1098</v>
      </c>
      <c r="Q372" s="38"/>
      <c r="R372" s="36" t="s">
        <v>1861</v>
      </c>
      <c r="S372" s="36" t="s">
        <v>1105</v>
      </c>
      <c r="T372" s="38" t="s">
        <v>1112</v>
      </c>
      <c r="U372" s="36" t="str">
        <f t="shared" si="59"/>
        <v>Not Included</v>
      </c>
      <c r="V372" s="63" t="s">
        <v>1862</v>
      </c>
      <c r="W372" s="37" t="s">
        <v>1792</v>
      </c>
      <c r="X372" s="40"/>
      <c r="Y372" s="40"/>
      <c r="Z372" s="40"/>
      <c r="AA372" s="40"/>
      <c r="AB372" s="40"/>
      <c r="AC372" s="40"/>
      <c r="AD372" s="40"/>
      <c r="AE372" s="40"/>
      <c r="AF372" s="40"/>
      <c r="AG372" s="40"/>
      <c r="AH372" s="40"/>
      <c r="AI372" s="40"/>
    </row>
    <row r="373" ht="72.0" customHeight="1">
      <c r="A373" s="36" t="s">
        <v>187</v>
      </c>
      <c r="B373" s="36" t="s">
        <v>1697</v>
      </c>
      <c r="C373" s="35" t="s">
        <v>1698</v>
      </c>
      <c r="D373" s="35" t="s">
        <v>1256</v>
      </c>
      <c r="E373" s="36" t="s">
        <v>252</v>
      </c>
      <c r="F373" s="36" t="s">
        <v>252</v>
      </c>
      <c r="G373" s="36" t="s">
        <v>1089</v>
      </c>
      <c r="H373" s="38" t="s">
        <v>56</v>
      </c>
      <c r="I373" s="38" t="s">
        <v>1781</v>
      </c>
      <c r="J373" s="38"/>
      <c r="K373" s="42">
        <v>1000000.0</v>
      </c>
      <c r="L373" s="42">
        <v>1000000.0</v>
      </c>
      <c r="M373" s="42"/>
      <c r="N373" s="42">
        <v>69093.0</v>
      </c>
      <c r="O373" s="39">
        <f t="shared" si="58"/>
        <v>69093</v>
      </c>
      <c r="P373" s="36">
        <f t="shared" ref="P373:P375" si="60">IF(AND((M373+N373)&gt;0,L373=0),"No Funding Goal",IF(AND((M373+N373)=0,L373=0),0,(M373+N373)/L373))</f>
        <v>0.069093</v>
      </c>
      <c r="Q373" s="36"/>
      <c r="R373" s="38" t="s">
        <v>1092</v>
      </c>
      <c r="S373" s="38" t="s">
        <v>1093</v>
      </c>
      <c r="T373" s="38" t="s">
        <v>1286</v>
      </c>
      <c r="U373" s="36" t="str">
        <f t="shared" si="59"/>
        <v>3. Difficult</v>
      </c>
      <c r="V373" s="38" t="s">
        <v>1863</v>
      </c>
      <c r="W373" s="38" t="s">
        <v>1612</v>
      </c>
      <c r="X373" s="78"/>
      <c r="Y373" s="78"/>
      <c r="Z373" s="78"/>
      <c r="AA373" s="78"/>
      <c r="AB373" s="78"/>
      <c r="AC373" s="78"/>
      <c r="AD373" s="78"/>
      <c r="AE373" s="78"/>
      <c r="AF373" s="78"/>
      <c r="AG373" s="78"/>
      <c r="AH373" s="78"/>
    </row>
    <row r="374" ht="72.0" customHeight="1">
      <c r="A374" s="36" t="s">
        <v>187</v>
      </c>
      <c r="B374" s="36" t="s">
        <v>1697</v>
      </c>
      <c r="C374" s="35" t="s">
        <v>1698</v>
      </c>
      <c r="D374" s="35" t="s">
        <v>1256</v>
      </c>
      <c r="E374" s="36" t="s">
        <v>248</v>
      </c>
      <c r="F374" s="36" t="s">
        <v>248</v>
      </c>
      <c r="G374" s="36" t="s">
        <v>1089</v>
      </c>
      <c r="H374" s="38" t="s">
        <v>52</v>
      </c>
      <c r="I374" s="38" t="s">
        <v>1285</v>
      </c>
      <c r="J374" s="38"/>
      <c r="K374" s="57">
        <v>1600000.0</v>
      </c>
      <c r="L374" s="42">
        <v>4600000.0</v>
      </c>
      <c r="M374" s="42">
        <f>2579560-N374</f>
        <v>1051390.84</v>
      </c>
      <c r="N374" s="42">
        <v>1528169.16</v>
      </c>
      <c r="O374" s="39">
        <f t="shared" si="58"/>
        <v>2579560</v>
      </c>
      <c r="P374" s="36">
        <f t="shared" si="60"/>
        <v>0.560773913</v>
      </c>
      <c r="Q374" s="36"/>
      <c r="R374" s="38" t="s">
        <v>1092</v>
      </c>
      <c r="S374" s="38" t="s">
        <v>1093</v>
      </c>
      <c r="T374" s="38" t="s">
        <v>1286</v>
      </c>
      <c r="U374" s="36" t="str">
        <f t="shared" si="59"/>
        <v>2. Moderate</v>
      </c>
      <c r="V374" s="37"/>
      <c r="W374" s="36" t="s">
        <v>1531</v>
      </c>
      <c r="AI374" s="50"/>
    </row>
    <row r="375" ht="72.0" customHeight="1">
      <c r="A375" s="36" t="s">
        <v>187</v>
      </c>
      <c r="B375" s="36" t="s">
        <v>1697</v>
      </c>
      <c r="C375" s="35" t="s">
        <v>1698</v>
      </c>
      <c r="D375" s="35" t="s">
        <v>1256</v>
      </c>
      <c r="E375" s="36" t="s">
        <v>243</v>
      </c>
      <c r="F375" s="36" t="s">
        <v>243</v>
      </c>
      <c r="G375" s="36" t="s">
        <v>1089</v>
      </c>
      <c r="H375" s="38" t="s">
        <v>1430</v>
      </c>
      <c r="I375" s="38"/>
      <c r="J375" s="38"/>
      <c r="K375" s="38"/>
      <c r="L375" s="42">
        <v>6400000.0</v>
      </c>
      <c r="M375" s="42">
        <v>6400000.0</v>
      </c>
      <c r="N375" s="42"/>
      <c r="O375" s="39">
        <f t="shared" si="58"/>
        <v>6400000</v>
      </c>
      <c r="P375" s="36">
        <f t="shared" si="60"/>
        <v>1</v>
      </c>
      <c r="Q375" s="36"/>
      <c r="R375" s="37" t="s">
        <v>1415</v>
      </c>
      <c r="S375" s="38" t="s">
        <v>1093</v>
      </c>
      <c r="T375" s="38" t="s">
        <v>1112</v>
      </c>
      <c r="U375" s="36" t="str">
        <f t="shared" si="59"/>
        <v>1. Easy</v>
      </c>
      <c r="V375" s="38" t="s">
        <v>1864</v>
      </c>
      <c r="W375" s="38" t="s">
        <v>1612</v>
      </c>
    </row>
    <row r="376" ht="72.0" customHeight="1">
      <c r="A376" s="36" t="s">
        <v>187</v>
      </c>
      <c r="B376" s="36" t="s">
        <v>1697</v>
      </c>
      <c r="C376" s="35" t="s">
        <v>1698</v>
      </c>
      <c r="D376" s="35" t="s">
        <v>1256</v>
      </c>
      <c r="E376" s="36" t="s">
        <v>238</v>
      </c>
      <c r="F376" s="36" t="s">
        <v>238</v>
      </c>
      <c r="G376" s="36" t="s">
        <v>1089</v>
      </c>
      <c r="H376" s="37" t="s">
        <v>240</v>
      </c>
      <c r="I376" s="37"/>
      <c r="J376" s="38"/>
      <c r="K376" s="38"/>
      <c r="L376" s="42">
        <v>0.0</v>
      </c>
      <c r="M376" s="42"/>
      <c r="N376" s="42">
        <v>0.0</v>
      </c>
      <c r="O376" s="39">
        <f t="shared" si="58"/>
        <v>0</v>
      </c>
      <c r="P376" s="36" t="s">
        <v>1098</v>
      </c>
      <c r="Q376" s="36"/>
      <c r="R376" s="37" t="s">
        <v>1092</v>
      </c>
      <c r="S376" s="38" t="s">
        <v>1093</v>
      </c>
      <c r="T376" s="38" t="s">
        <v>1286</v>
      </c>
      <c r="U376" s="36" t="str">
        <f t="shared" si="59"/>
        <v>Not Included</v>
      </c>
      <c r="V376" s="38" t="s">
        <v>1865</v>
      </c>
      <c r="W376" s="38" t="s">
        <v>1612</v>
      </c>
    </row>
    <row r="377" ht="72.0" customHeight="1">
      <c r="A377" s="35" t="s">
        <v>187</v>
      </c>
      <c r="B377" s="36" t="s">
        <v>1697</v>
      </c>
      <c r="C377" s="35" t="s">
        <v>1698</v>
      </c>
      <c r="D377" s="35" t="s">
        <v>1256</v>
      </c>
      <c r="E377" s="37" t="s">
        <v>1866</v>
      </c>
      <c r="F377" s="36" t="s">
        <v>1867</v>
      </c>
      <c r="G377" s="37" t="s">
        <v>1089</v>
      </c>
      <c r="H377" s="37" t="s">
        <v>1097</v>
      </c>
      <c r="I377" s="37" t="s">
        <v>1868</v>
      </c>
      <c r="J377" s="38"/>
      <c r="K377" s="38"/>
      <c r="L377" s="42"/>
      <c r="M377" s="42"/>
      <c r="N377" s="42"/>
      <c r="O377" s="39">
        <f t="shared" si="58"/>
        <v>0</v>
      </c>
      <c r="P377" s="36" t="s">
        <v>1098</v>
      </c>
      <c r="Q377" s="38"/>
      <c r="R377" s="37" t="s">
        <v>1092</v>
      </c>
      <c r="S377" s="38" t="s">
        <v>1105</v>
      </c>
      <c r="T377" s="38" t="s">
        <v>1112</v>
      </c>
      <c r="U377" s="36" t="str">
        <f t="shared" si="59"/>
        <v>Not Included</v>
      </c>
      <c r="V377" s="37" t="s">
        <v>1869</v>
      </c>
      <c r="W377" s="37" t="s">
        <v>1612</v>
      </c>
    </row>
    <row r="378" ht="72.0" customHeight="1">
      <c r="A378" s="36" t="s">
        <v>187</v>
      </c>
      <c r="B378" s="36" t="s">
        <v>1697</v>
      </c>
      <c r="C378" s="35" t="s">
        <v>1698</v>
      </c>
      <c r="D378" s="35" t="s">
        <v>1256</v>
      </c>
      <c r="E378" s="35" t="s">
        <v>1870</v>
      </c>
      <c r="F378" s="36" t="s">
        <v>761</v>
      </c>
      <c r="G378" s="36" t="s">
        <v>1116</v>
      </c>
      <c r="H378" s="38" t="s">
        <v>1139</v>
      </c>
      <c r="I378" s="38" t="s">
        <v>1170</v>
      </c>
      <c r="J378" s="38"/>
      <c r="K378" s="38"/>
      <c r="L378" s="38"/>
      <c r="M378" s="38"/>
      <c r="N378" s="38"/>
      <c r="O378" s="38"/>
      <c r="P378" s="38" t="s">
        <v>1098</v>
      </c>
      <c r="Q378" s="38"/>
      <c r="R378" s="37"/>
      <c r="S378" s="38"/>
      <c r="T378" s="38"/>
      <c r="U378" s="38"/>
      <c r="V378" s="37"/>
      <c r="W378" s="37"/>
    </row>
    <row r="379" ht="72.0" customHeight="1">
      <c r="A379" s="35" t="s">
        <v>187</v>
      </c>
      <c r="B379" s="36" t="s">
        <v>1697</v>
      </c>
      <c r="C379" s="35" t="s">
        <v>1698</v>
      </c>
      <c r="D379" s="35" t="s">
        <v>1256</v>
      </c>
      <c r="E379" s="52" t="s">
        <v>1871</v>
      </c>
      <c r="F379" s="52"/>
      <c r="G379" s="36" t="s">
        <v>1089</v>
      </c>
      <c r="H379" s="37" t="s">
        <v>1529</v>
      </c>
      <c r="I379" s="37"/>
      <c r="J379" s="38"/>
      <c r="K379" s="38"/>
      <c r="L379" s="39">
        <v>1000000.0</v>
      </c>
      <c r="M379" s="39">
        <v>476654.07</v>
      </c>
      <c r="N379" s="39"/>
      <c r="O379" s="39">
        <f>M379+N379</f>
        <v>476654.07</v>
      </c>
      <c r="P379" s="36">
        <f>IF(AND((M379+N379)&gt;0,L379=0),"No Funding Goal",IF(AND((M379+N379)=0,L379=0),0,(M379+N379)/L379))</f>
        <v>0.47665407</v>
      </c>
      <c r="Q379" s="36"/>
      <c r="R379" s="36" t="s">
        <v>1092</v>
      </c>
      <c r="S379" s="38" t="s">
        <v>1100</v>
      </c>
      <c r="T379" s="38" t="s">
        <v>1286</v>
      </c>
      <c r="U379" s="36" t="str">
        <f t="shared" ref="U379:U380" si="61">IFS(
    P379="No Funding Goal","Not Included",
    P379="Not Applicable","Not Included",
    P379&gt;=0.75,"1. Easy",
    AND(P379&lt;0.75,P379&gt;=0.5),"2. Moderate",
    P379&lt;0.5,"3. Difficult"
)</f>
        <v>3. Difficult</v>
      </c>
      <c r="V379" s="36"/>
      <c r="W379" s="36" t="s">
        <v>1612</v>
      </c>
      <c r="X379" s="68"/>
      <c r="Y379" s="68"/>
      <c r="Z379" s="68"/>
      <c r="AA379" s="68"/>
      <c r="AB379" s="68"/>
      <c r="AC379" s="68"/>
      <c r="AD379" s="68"/>
      <c r="AE379" s="68"/>
      <c r="AF379" s="68"/>
      <c r="AG379" s="68"/>
      <c r="AH379" s="68"/>
    </row>
    <row r="380" ht="72.0" customHeight="1">
      <c r="A380" s="35" t="s">
        <v>187</v>
      </c>
      <c r="B380" s="36" t="s">
        <v>1697</v>
      </c>
      <c r="C380" s="35" t="s">
        <v>1698</v>
      </c>
      <c r="D380" s="35" t="s">
        <v>1256</v>
      </c>
      <c r="E380" s="38" t="s">
        <v>1872</v>
      </c>
      <c r="F380" s="37"/>
      <c r="G380" s="40" t="s">
        <v>1167</v>
      </c>
      <c r="H380" s="37" t="s">
        <v>1309</v>
      </c>
      <c r="I380" s="37" t="s">
        <v>1873</v>
      </c>
      <c r="J380" s="38"/>
      <c r="K380" s="38"/>
      <c r="L380" s="39"/>
      <c r="M380" s="39"/>
      <c r="N380" s="39">
        <v>0.0</v>
      </c>
      <c r="O380" s="36"/>
      <c r="P380" s="36" t="s">
        <v>1098</v>
      </c>
      <c r="Q380" s="36"/>
      <c r="R380" s="36"/>
      <c r="S380" s="36" t="s">
        <v>1093</v>
      </c>
      <c r="T380" s="36" t="s">
        <v>1094</v>
      </c>
      <c r="U380" s="36" t="str">
        <f t="shared" si="61"/>
        <v>Not Included</v>
      </c>
      <c r="V380" s="63" t="s">
        <v>1874</v>
      </c>
      <c r="W380" s="37" t="s">
        <v>1792</v>
      </c>
      <c r="X380" s="40"/>
      <c r="Y380" s="40"/>
      <c r="Z380" s="40"/>
      <c r="AA380" s="40"/>
      <c r="AB380" s="40"/>
      <c r="AC380" s="40"/>
      <c r="AD380" s="40"/>
      <c r="AE380" s="40"/>
      <c r="AF380" s="40"/>
      <c r="AG380" s="40"/>
      <c r="AH380" s="40"/>
      <c r="AI380" s="40"/>
    </row>
    <row r="381" ht="72.0" customHeight="1">
      <c r="A381" s="35" t="s">
        <v>187</v>
      </c>
      <c r="B381" s="36" t="s">
        <v>1697</v>
      </c>
      <c r="C381" s="35" t="s">
        <v>1698</v>
      </c>
      <c r="D381" s="35" t="s">
        <v>1256</v>
      </c>
      <c r="E381" s="36" t="s">
        <v>1875</v>
      </c>
      <c r="F381" s="36"/>
      <c r="G381" s="37" t="s">
        <v>1139</v>
      </c>
      <c r="H381" s="37" t="s">
        <v>1139</v>
      </c>
      <c r="I381" s="37" t="s">
        <v>1876</v>
      </c>
      <c r="J381" s="38"/>
      <c r="K381" s="38"/>
      <c r="L381" s="38"/>
      <c r="M381" s="38"/>
      <c r="N381" s="38"/>
      <c r="O381" s="38"/>
      <c r="P381" s="38" t="s">
        <v>1098</v>
      </c>
      <c r="Q381" s="38"/>
      <c r="R381" s="37"/>
      <c r="S381" s="38"/>
      <c r="T381" s="38"/>
      <c r="U381" s="38"/>
      <c r="V381" s="37" t="s">
        <v>1877</v>
      </c>
      <c r="W381" s="37" t="s">
        <v>1612</v>
      </c>
    </row>
    <row r="382" ht="72.0" customHeight="1">
      <c r="A382" s="36" t="s">
        <v>187</v>
      </c>
      <c r="B382" s="36" t="s">
        <v>1697</v>
      </c>
      <c r="C382" s="35" t="s">
        <v>1698</v>
      </c>
      <c r="D382" s="35" t="s">
        <v>1256</v>
      </c>
      <c r="E382" s="36" t="s">
        <v>244</v>
      </c>
      <c r="F382" s="38"/>
      <c r="G382" s="38" t="s">
        <v>1089</v>
      </c>
      <c r="H382" s="37" t="s">
        <v>1090</v>
      </c>
      <c r="I382" s="37" t="s">
        <v>1800</v>
      </c>
      <c r="J382" s="38"/>
      <c r="K382" s="38"/>
      <c r="L382" s="42">
        <v>619027.72</v>
      </c>
      <c r="M382" s="42">
        <v>619027.72</v>
      </c>
      <c r="N382" s="42"/>
      <c r="O382" s="39">
        <f t="shared" ref="O382:O387" si="62">M382+N382</f>
        <v>619027.72</v>
      </c>
      <c r="P382" s="36">
        <v>1.0</v>
      </c>
      <c r="Q382" s="36"/>
      <c r="R382" s="38" t="s">
        <v>1092</v>
      </c>
      <c r="S382" s="38" t="s">
        <v>1093</v>
      </c>
      <c r="T382" s="38" t="s">
        <v>1112</v>
      </c>
      <c r="U382" s="36" t="str">
        <f t="shared" ref="U382:U387" si="63">IFS(
    P382="No Funding Goal","Not Included",
    P382="Not Applicable","Not Included",
    P382&gt;=0.75,"1. Easy",
    AND(P382&lt;0.75,P382&gt;=0.5),"2. Moderate",
    P382&lt;0.5,"3. Difficult"
)</f>
        <v>1. Easy</v>
      </c>
      <c r="V382" s="37"/>
      <c r="W382" s="37"/>
      <c r="X382" s="40"/>
      <c r="Y382" s="40"/>
      <c r="Z382" s="40"/>
      <c r="AA382" s="40"/>
      <c r="AB382" s="40"/>
      <c r="AC382" s="40"/>
      <c r="AD382" s="40"/>
      <c r="AE382" s="40"/>
      <c r="AF382" s="40"/>
      <c r="AG382" s="40"/>
      <c r="AH382" s="40"/>
      <c r="AI382" s="40"/>
    </row>
    <row r="383" ht="72.0" customHeight="1">
      <c r="A383" s="36" t="s">
        <v>187</v>
      </c>
      <c r="B383" s="36" t="s">
        <v>1697</v>
      </c>
      <c r="C383" s="35" t="s">
        <v>1698</v>
      </c>
      <c r="D383" s="35" t="s">
        <v>1256</v>
      </c>
      <c r="E383" s="36" t="s">
        <v>222</v>
      </c>
      <c r="F383" s="36" t="s">
        <v>222</v>
      </c>
      <c r="G383" s="36" t="s">
        <v>1089</v>
      </c>
      <c r="H383" s="38" t="s">
        <v>1441</v>
      </c>
      <c r="I383" s="38"/>
      <c r="J383" s="38"/>
      <c r="K383" s="42">
        <v>1500000.0</v>
      </c>
      <c r="L383" s="42">
        <v>2000000.0</v>
      </c>
      <c r="M383" s="42">
        <f>479125-N383</f>
        <v>122650</v>
      </c>
      <c r="N383" s="42">
        <v>356475.0</v>
      </c>
      <c r="O383" s="39">
        <f t="shared" si="62"/>
        <v>479125</v>
      </c>
      <c r="P383" s="36">
        <f t="shared" ref="P383:P385" si="64">IF(AND((M383+N383)&gt;0,L383=0),"No Funding Goal",IF(AND((M383+N383)=0,L383=0),0,(M383+N383)/L383))</f>
        <v>0.2395625</v>
      </c>
      <c r="Q383" s="36"/>
      <c r="R383" s="38" t="s">
        <v>1092</v>
      </c>
      <c r="S383" s="38" t="s">
        <v>1093</v>
      </c>
      <c r="T383" s="38" t="s">
        <v>1286</v>
      </c>
      <c r="U383" s="36" t="str">
        <f t="shared" si="63"/>
        <v>3. Difficult</v>
      </c>
      <c r="V383" s="38" t="s">
        <v>1878</v>
      </c>
      <c r="W383" s="38" t="s">
        <v>1612</v>
      </c>
    </row>
    <row r="384" ht="72.0" customHeight="1">
      <c r="A384" s="36" t="s">
        <v>187</v>
      </c>
      <c r="B384" s="36" t="s">
        <v>1697</v>
      </c>
      <c r="C384" s="35" t="s">
        <v>1698</v>
      </c>
      <c r="D384" s="35" t="s">
        <v>1256</v>
      </c>
      <c r="E384" s="36" t="s">
        <v>220</v>
      </c>
      <c r="F384" s="36" t="s">
        <v>220</v>
      </c>
      <c r="G384" s="36" t="s">
        <v>1089</v>
      </c>
      <c r="H384" s="38" t="s">
        <v>1784</v>
      </c>
      <c r="I384" s="38" t="s">
        <v>218</v>
      </c>
      <c r="J384" s="38"/>
      <c r="K384" s="42"/>
      <c r="L384" s="42">
        <v>75000.0</v>
      </c>
      <c r="M384" s="42">
        <f>54858.4-N384</f>
        <v>21400</v>
      </c>
      <c r="N384" s="42">
        <v>33458.4</v>
      </c>
      <c r="O384" s="39">
        <f t="shared" si="62"/>
        <v>54858.4</v>
      </c>
      <c r="P384" s="36">
        <f t="shared" si="64"/>
        <v>0.7314453333</v>
      </c>
      <c r="Q384" s="36"/>
      <c r="R384" s="38" t="s">
        <v>1311</v>
      </c>
      <c r="S384" s="38" t="s">
        <v>1093</v>
      </c>
      <c r="T384" s="38" t="s">
        <v>1094</v>
      </c>
      <c r="U384" s="36" t="str">
        <f t="shared" si="63"/>
        <v>2. Moderate</v>
      </c>
      <c r="V384" s="38" t="s">
        <v>1879</v>
      </c>
      <c r="W384" s="38" t="s">
        <v>1612</v>
      </c>
    </row>
    <row r="385" ht="72.0" customHeight="1">
      <c r="A385" s="36" t="s">
        <v>187</v>
      </c>
      <c r="B385" s="36" t="s">
        <v>1697</v>
      </c>
      <c r="C385" s="35" t="s">
        <v>1698</v>
      </c>
      <c r="D385" s="35" t="s">
        <v>1256</v>
      </c>
      <c r="E385" s="36" t="s">
        <v>214</v>
      </c>
      <c r="F385" s="36" t="s">
        <v>214</v>
      </c>
      <c r="G385" s="36" t="s">
        <v>1089</v>
      </c>
      <c r="H385" s="38" t="s">
        <v>1784</v>
      </c>
      <c r="I385" s="38" t="s">
        <v>1104</v>
      </c>
      <c r="J385" s="38"/>
      <c r="K385" s="42">
        <v>200000.0</v>
      </c>
      <c r="L385" s="42">
        <v>500000.0</v>
      </c>
      <c r="M385" s="42">
        <f>388320.37-N385</f>
        <v>201440.61</v>
      </c>
      <c r="N385" s="42">
        <v>186879.76</v>
      </c>
      <c r="O385" s="39">
        <f t="shared" si="62"/>
        <v>388320.37</v>
      </c>
      <c r="P385" s="36">
        <f t="shared" si="64"/>
        <v>0.77664074</v>
      </c>
      <c r="Q385" s="36"/>
      <c r="R385" s="38" t="s">
        <v>1092</v>
      </c>
      <c r="S385" s="38" t="s">
        <v>1093</v>
      </c>
      <c r="T385" s="38" t="s">
        <v>1286</v>
      </c>
      <c r="U385" s="36" t="str">
        <f t="shared" si="63"/>
        <v>1. Easy</v>
      </c>
      <c r="V385" s="38" t="s">
        <v>1880</v>
      </c>
      <c r="W385" s="38" t="s">
        <v>1612</v>
      </c>
    </row>
    <row r="386" ht="72.0" customHeight="1">
      <c r="A386" s="36" t="s">
        <v>187</v>
      </c>
      <c r="B386" s="36" t="s">
        <v>1697</v>
      </c>
      <c r="C386" s="35" t="s">
        <v>1698</v>
      </c>
      <c r="D386" s="35" t="s">
        <v>1256</v>
      </c>
      <c r="E386" s="36" t="s">
        <v>196</v>
      </c>
      <c r="F386" s="36" t="s">
        <v>196</v>
      </c>
      <c r="G386" s="36" t="s">
        <v>1089</v>
      </c>
      <c r="H386" s="38" t="s">
        <v>1314</v>
      </c>
      <c r="I386" s="38" t="s">
        <v>1617</v>
      </c>
      <c r="J386" s="38"/>
      <c r="K386" s="38"/>
      <c r="L386" s="42"/>
      <c r="M386" s="42"/>
      <c r="N386" s="42"/>
      <c r="O386" s="39">
        <f t="shared" si="62"/>
        <v>0</v>
      </c>
      <c r="P386" s="36" t="s">
        <v>1098</v>
      </c>
      <c r="Q386" s="36"/>
      <c r="R386" s="37" t="s">
        <v>1092</v>
      </c>
      <c r="S386" s="38" t="s">
        <v>1105</v>
      </c>
      <c r="T386" s="36" t="s">
        <v>1112</v>
      </c>
      <c r="U386" s="36" t="str">
        <f t="shared" si="63"/>
        <v>Not Included</v>
      </c>
      <c r="V386" s="37"/>
      <c r="W386" s="37"/>
    </row>
    <row r="387" ht="37.5" customHeight="1">
      <c r="A387" s="36" t="s">
        <v>187</v>
      </c>
      <c r="B387" s="36" t="s">
        <v>1697</v>
      </c>
      <c r="C387" s="35" t="s">
        <v>1698</v>
      </c>
      <c r="D387" s="35" t="s">
        <v>1256</v>
      </c>
      <c r="E387" s="36" t="s">
        <v>266</v>
      </c>
      <c r="F387" s="36" t="s">
        <v>266</v>
      </c>
      <c r="G387" s="36" t="s">
        <v>1089</v>
      </c>
      <c r="H387" s="38" t="s">
        <v>1314</v>
      </c>
      <c r="I387" s="38" t="s">
        <v>41</v>
      </c>
      <c r="J387" s="38" t="s">
        <v>1881</v>
      </c>
      <c r="K387" s="38"/>
      <c r="L387" s="42"/>
      <c r="M387" s="42"/>
      <c r="N387" s="42"/>
      <c r="O387" s="39">
        <f t="shared" si="62"/>
        <v>0</v>
      </c>
      <c r="P387" s="36" t="s">
        <v>1098</v>
      </c>
      <c r="Q387" s="36"/>
      <c r="R387" s="37" t="s">
        <v>1092</v>
      </c>
      <c r="S387" s="38" t="s">
        <v>1105</v>
      </c>
      <c r="T387" s="38" t="s">
        <v>1286</v>
      </c>
      <c r="U387" s="36" t="str">
        <f t="shared" si="63"/>
        <v>Not Included</v>
      </c>
      <c r="V387" s="38"/>
      <c r="W387" s="38"/>
    </row>
    <row r="388" ht="15.75" customHeight="1">
      <c r="A388" s="35" t="s">
        <v>187</v>
      </c>
      <c r="B388" s="36" t="s">
        <v>1697</v>
      </c>
      <c r="C388" s="35" t="s">
        <v>1698</v>
      </c>
      <c r="D388" s="35" t="s">
        <v>1256</v>
      </c>
      <c r="E388" s="77" t="s">
        <v>1882</v>
      </c>
      <c r="F388" s="37"/>
      <c r="G388" s="37" t="s">
        <v>1139</v>
      </c>
      <c r="H388" s="37" t="s">
        <v>1139</v>
      </c>
      <c r="I388" s="37" t="s">
        <v>1883</v>
      </c>
      <c r="J388" s="38"/>
      <c r="K388" s="38"/>
      <c r="L388" s="38"/>
      <c r="M388" s="38"/>
      <c r="N388" s="38"/>
      <c r="O388" s="38"/>
      <c r="P388" s="38" t="s">
        <v>1098</v>
      </c>
      <c r="Q388" s="38"/>
      <c r="R388" s="37"/>
      <c r="S388" s="38"/>
      <c r="T388" s="38"/>
      <c r="U388" s="38"/>
      <c r="V388" s="37" t="s">
        <v>1884</v>
      </c>
      <c r="W388" s="37" t="s">
        <v>1612</v>
      </c>
    </row>
    <row r="389" ht="15.75" customHeight="1">
      <c r="A389" s="35" t="s">
        <v>187</v>
      </c>
      <c r="B389" s="36" t="s">
        <v>1697</v>
      </c>
      <c r="C389" s="35" t="s">
        <v>1698</v>
      </c>
      <c r="D389" s="35" t="s">
        <v>1256</v>
      </c>
      <c r="E389" s="52" t="s">
        <v>1885</v>
      </c>
      <c r="F389" s="37"/>
      <c r="G389" s="37" t="s">
        <v>1139</v>
      </c>
      <c r="H389" s="37" t="s">
        <v>1139</v>
      </c>
      <c r="I389" s="37" t="s">
        <v>1886</v>
      </c>
      <c r="J389" s="38"/>
      <c r="K389" s="38"/>
      <c r="L389" s="38"/>
      <c r="M389" s="38"/>
      <c r="N389" s="38"/>
      <c r="O389" s="38"/>
      <c r="P389" s="38" t="s">
        <v>1098</v>
      </c>
      <c r="Q389" s="38"/>
      <c r="R389" s="37"/>
      <c r="S389" s="38"/>
      <c r="T389" s="38"/>
      <c r="U389" s="38"/>
      <c r="V389" s="37" t="s">
        <v>1887</v>
      </c>
      <c r="W389" s="37" t="s">
        <v>1612</v>
      </c>
    </row>
    <row r="390" ht="43.5" customHeight="1">
      <c r="A390" s="35" t="s">
        <v>187</v>
      </c>
      <c r="B390" s="36" t="s">
        <v>1697</v>
      </c>
      <c r="C390" s="35" t="s">
        <v>1698</v>
      </c>
      <c r="D390" s="35" t="s">
        <v>1256</v>
      </c>
      <c r="E390" s="37" t="s">
        <v>1888</v>
      </c>
      <c r="F390" s="37"/>
      <c r="G390" s="37" t="s">
        <v>1139</v>
      </c>
      <c r="H390" s="37" t="s">
        <v>1139</v>
      </c>
      <c r="I390" s="37" t="s">
        <v>1387</v>
      </c>
      <c r="J390" s="38"/>
      <c r="K390" s="38"/>
      <c r="L390" s="38"/>
      <c r="M390" s="38"/>
      <c r="N390" s="38"/>
      <c r="O390" s="38"/>
      <c r="P390" s="38" t="s">
        <v>1098</v>
      </c>
      <c r="Q390" s="38"/>
      <c r="R390" s="37"/>
      <c r="S390" s="38"/>
      <c r="T390" s="38"/>
      <c r="U390" s="38"/>
      <c r="V390" s="37" t="s">
        <v>1889</v>
      </c>
      <c r="W390" s="37" t="s">
        <v>1612</v>
      </c>
    </row>
    <row r="391" ht="44.25" customHeight="1">
      <c r="A391" s="36" t="s">
        <v>187</v>
      </c>
      <c r="B391" s="36" t="s">
        <v>1697</v>
      </c>
      <c r="C391" s="35" t="s">
        <v>1698</v>
      </c>
      <c r="D391" s="35" t="s">
        <v>1256</v>
      </c>
      <c r="E391" s="36" t="s">
        <v>295</v>
      </c>
      <c r="F391" s="36" t="s">
        <v>295</v>
      </c>
      <c r="G391" s="36" t="s">
        <v>1089</v>
      </c>
      <c r="H391" s="38" t="s">
        <v>1347</v>
      </c>
      <c r="I391" s="38" t="s">
        <v>1789</v>
      </c>
      <c r="J391" s="38"/>
      <c r="K391" s="42"/>
      <c r="L391" s="42"/>
      <c r="M391" s="42"/>
      <c r="N391" s="42"/>
      <c r="O391" s="39">
        <f>M391+N391</f>
        <v>0</v>
      </c>
      <c r="P391" s="36" t="s">
        <v>1098</v>
      </c>
      <c r="Q391" s="36"/>
      <c r="R391" s="38" t="s">
        <v>1092</v>
      </c>
      <c r="S391" s="38" t="s">
        <v>1105</v>
      </c>
      <c r="T391" s="38" t="s">
        <v>1112</v>
      </c>
      <c r="U391" s="36" t="str">
        <f>IFS(
    P391="No Funding Goal","Not Included",
    P391="Not Applicable","Not Included",
    P391&gt;=0.75,"1. Easy",
    AND(P391&lt;0.75,P391&gt;=0.5),"2. Moderate",
    P391&lt;0.5,"3. Difficult"
)</f>
        <v>Not Included</v>
      </c>
      <c r="V391" s="38" t="s">
        <v>1890</v>
      </c>
      <c r="W391" s="38" t="s">
        <v>1612</v>
      </c>
    </row>
    <row r="392" ht="65.25" customHeight="1">
      <c r="A392" s="36" t="s">
        <v>187</v>
      </c>
      <c r="B392" s="36" t="s">
        <v>1697</v>
      </c>
      <c r="C392" s="35" t="s">
        <v>1698</v>
      </c>
      <c r="D392" s="35" t="s">
        <v>1256</v>
      </c>
      <c r="E392" s="36" t="s">
        <v>744</v>
      </c>
      <c r="F392" s="36" t="s">
        <v>744</v>
      </c>
      <c r="G392" s="36" t="s">
        <v>1116</v>
      </c>
      <c r="H392" s="38" t="s">
        <v>1139</v>
      </c>
      <c r="I392" s="38" t="s">
        <v>1891</v>
      </c>
      <c r="J392" s="38" t="s">
        <v>1720</v>
      </c>
      <c r="K392" s="38"/>
      <c r="L392" s="38"/>
      <c r="M392" s="38"/>
      <c r="N392" s="38"/>
      <c r="O392" s="38"/>
      <c r="P392" s="38" t="s">
        <v>1098</v>
      </c>
      <c r="Q392" s="38"/>
      <c r="R392" s="37"/>
      <c r="S392" s="38"/>
      <c r="T392" s="38"/>
      <c r="U392" s="38"/>
      <c r="V392" s="37"/>
      <c r="W392" s="37"/>
    </row>
    <row r="393" ht="15.75" customHeight="1">
      <c r="A393" s="36" t="s">
        <v>187</v>
      </c>
      <c r="B393" s="36" t="s">
        <v>1697</v>
      </c>
      <c r="C393" s="35" t="s">
        <v>1698</v>
      </c>
      <c r="D393" s="35" t="s">
        <v>1256</v>
      </c>
      <c r="E393" s="36" t="s">
        <v>849</v>
      </c>
      <c r="F393" s="36" t="s">
        <v>849</v>
      </c>
      <c r="G393" s="36" t="s">
        <v>1116</v>
      </c>
      <c r="H393" s="38" t="s">
        <v>1139</v>
      </c>
      <c r="I393" s="38" t="s">
        <v>1892</v>
      </c>
      <c r="J393" s="38" t="s">
        <v>1893</v>
      </c>
      <c r="K393" s="38"/>
      <c r="L393" s="38"/>
      <c r="M393" s="38"/>
      <c r="N393" s="38"/>
      <c r="O393" s="38"/>
      <c r="P393" s="38" t="s">
        <v>1098</v>
      </c>
      <c r="Q393" s="38"/>
      <c r="R393" s="37"/>
      <c r="S393" s="38"/>
      <c r="T393" s="38"/>
      <c r="U393" s="38"/>
      <c r="V393" s="37"/>
      <c r="W393" s="37"/>
    </row>
    <row r="394" ht="15.75" customHeight="1">
      <c r="A394" s="36" t="s">
        <v>187</v>
      </c>
      <c r="B394" s="36" t="s">
        <v>1697</v>
      </c>
      <c r="C394" s="35" t="s">
        <v>1698</v>
      </c>
      <c r="D394" s="35" t="s">
        <v>1256</v>
      </c>
      <c r="E394" s="36" t="s">
        <v>200</v>
      </c>
      <c r="F394" s="36" t="s">
        <v>200</v>
      </c>
      <c r="G394" s="36" t="s">
        <v>1089</v>
      </c>
      <c r="H394" s="37" t="s">
        <v>1129</v>
      </c>
      <c r="I394" s="37" t="s">
        <v>1331</v>
      </c>
      <c r="J394" s="38"/>
      <c r="K394" s="38"/>
      <c r="L394" s="42"/>
      <c r="M394" s="42"/>
      <c r="N394" s="42"/>
      <c r="O394" s="39">
        <f>M394+N394</f>
        <v>0</v>
      </c>
      <c r="P394" s="38" t="s">
        <v>1098</v>
      </c>
      <c r="Q394" s="38"/>
      <c r="R394" s="37" t="s">
        <v>1092</v>
      </c>
      <c r="S394" s="38" t="s">
        <v>1105</v>
      </c>
      <c r="T394" s="38" t="s">
        <v>1112</v>
      </c>
      <c r="U394" s="36" t="str">
        <f>IFS(
    P394="No Funding Goal","Not Included",
    P394="Not Applicable","Not Included",
    P394&gt;=0.75,"1. Easy",
    AND(P394&lt;0.75,P394&gt;=0.5),"2. Moderate",
    P394&lt;0.5,"3. Difficult"
)</f>
        <v>Not Included</v>
      </c>
      <c r="V394" s="37"/>
      <c r="W394" s="38" t="s">
        <v>1612</v>
      </c>
    </row>
    <row r="395" ht="15.75" customHeight="1">
      <c r="A395" s="36" t="s">
        <v>187</v>
      </c>
      <c r="B395" s="36" t="s">
        <v>1697</v>
      </c>
      <c r="C395" s="35" t="s">
        <v>1698</v>
      </c>
      <c r="D395" s="35" t="s">
        <v>1256</v>
      </c>
      <c r="E395" s="36" t="s">
        <v>753</v>
      </c>
      <c r="F395" s="36" t="s">
        <v>753</v>
      </c>
      <c r="G395" s="36" t="s">
        <v>1116</v>
      </c>
      <c r="H395" s="37" t="s">
        <v>1139</v>
      </c>
      <c r="I395" s="37" t="s">
        <v>1737</v>
      </c>
      <c r="J395" s="38"/>
      <c r="K395" s="38"/>
      <c r="L395" s="38"/>
      <c r="M395" s="38"/>
      <c r="N395" s="38"/>
      <c r="O395" s="38"/>
      <c r="P395" s="38" t="s">
        <v>1098</v>
      </c>
      <c r="Q395" s="38"/>
      <c r="R395" s="37"/>
      <c r="S395" s="38"/>
      <c r="T395" s="38"/>
      <c r="U395" s="38"/>
      <c r="V395" s="37"/>
      <c r="W395" s="37"/>
    </row>
    <row r="396" ht="15.75" customHeight="1">
      <c r="A396" s="36" t="s">
        <v>187</v>
      </c>
      <c r="B396" s="36" t="s">
        <v>1697</v>
      </c>
      <c r="C396" s="35" t="s">
        <v>1698</v>
      </c>
      <c r="D396" s="35" t="s">
        <v>1256</v>
      </c>
      <c r="E396" s="36" t="s">
        <v>858</v>
      </c>
      <c r="F396" s="36" t="s">
        <v>858</v>
      </c>
      <c r="G396" s="36" t="s">
        <v>1116</v>
      </c>
      <c r="H396" s="37" t="s">
        <v>1139</v>
      </c>
      <c r="I396" s="37" t="s">
        <v>1737</v>
      </c>
      <c r="J396" s="38" t="s">
        <v>1894</v>
      </c>
      <c r="L396" s="38"/>
      <c r="M396" s="38"/>
      <c r="N396" s="38"/>
      <c r="O396" s="38"/>
      <c r="P396" s="38" t="s">
        <v>1098</v>
      </c>
      <c r="Q396" s="38"/>
      <c r="R396" s="37"/>
      <c r="S396" s="38"/>
      <c r="T396" s="38"/>
      <c r="U396" s="38"/>
      <c r="V396" s="37"/>
      <c r="W396" s="37"/>
    </row>
    <row r="397" ht="15.75" customHeight="1">
      <c r="A397" s="36" t="s">
        <v>187</v>
      </c>
      <c r="B397" s="36" t="s">
        <v>1697</v>
      </c>
      <c r="C397" s="35" t="s">
        <v>1698</v>
      </c>
      <c r="D397" s="35" t="s">
        <v>1256</v>
      </c>
      <c r="E397" s="54" t="s">
        <v>819</v>
      </c>
      <c r="F397" s="54" t="s">
        <v>819</v>
      </c>
      <c r="G397" s="36" t="s">
        <v>1116</v>
      </c>
      <c r="H397" s="37" t="s">
        <v>1139</v>
      </c>
      <c r="I397" s="37" t="s">
        <v>1798</v>
      </c>
      <c r="J397" s="38"/>
      <c r="K397" s="38"/>
      <c r="L397" s="38"/>
      <c r="M397" s="38"/>
      <c r="N397" s="38"/>
      <c r="O397" s="38"/>
      <c r="P397" s="38" t="s">
        <v>1098</v>
      </c>
      <c r="Q397" s="38"/>
      <c r="R397" s="37"/>
      <c r="S397" s="38"/>
      <c r="T397" s="38"/>
      <c r="U397" s="38"/>
      <c r="V397" s="37"/>
      <c r="W397" s="37"/>
    </row>
    <row r="398" ht="15.75" customHeight="1">
      <c r="A398" s="36" t="s">
        <v>187</v>
      </c>
      <c r="B398" s="36" t="s">
        <v>1697</v>
      </c>
      <c r="C398" s="35" t="s">
        <v>1698</v>
      </c>
      <c r="D398" s="35" t="s">
        <v>1256</v>
      </c>
      <c r="E398" s="36" t="s">
        <v>1042</v>
      </c>
      <c r="F398" s="36" t="s">
        <v>1042</v>
      </c>
      <c r="G398" s="36" t="s">
        <v>1116</v>
      </c>
      <c r="H398" s="37" t="s">
        <v>1139</v>
      </c>
      <c r="I398" s="37"/>
      <c r="J398" s="38"/>
      <c r="K398" s="38"/>
      <c r="L398" s="38"/>
      <c r="M398" s="38"/>
      <c r="N398" s="38"/>
      <c r="O398" s="38"/>
      <c r="P398" s="38" t="s">
        <v>1098</v>
      </c>
      <c r="Q398" s="38"/>
      <c r="R398" s="37"/>
      <c r="S398" s="38"/>
      <c r="T398" s="38"/>
      <c r="U398" s="38"/>
      <c r="V398" s="37"/>
      <c r="W398" s="37"/>
    </row>
    <row r="399" ht="15.75" customHeight="1">
      <c r="A399" s="36" t="s">
        <v>187</v>
      </c>
      <c r="B399" s="36" t="s">
        <v>1697</v>
      </c>
      <c r="C399" s="35" t="s">
        <v>1698</v>
      </c>
      <c r="D399" s="35" t="s">
        <v>1256</v>
      </c>
      <c r="E399" s="36" t="s">
        <v>828</v>
      </c>
      <c r="F399" s="36" t="s">
        <v>828</v>
      </c>
      <c r="G399" s="36" t="s">
        <v>1116</v>
      </c>
      <c r="H399" s="37" t="s">
        <v>1139</v>
      </c>
      <c r="I399" s="37"/>
      <c r="J399" s="38"/>
      <c r="K399" s="38"/>
      <c r="L399" s="38"/>
      <c r="M399" s="38"/>
      <c r="N399" s="38"/>
      <c r="O399" s="38"/>
      <c r="P399" s="38" t="s">
        <v>1098</v>
      </c>
      <c r="Q399" s="38"/>
      <c r="R399" s="37"/>
      <c r="S399" s="38"/>
      <c r="T399" s="38"/>
      <c r="U399" s="38"/>
      <c r="V399" s="36"/>
      <c r="W399" s="36">
        <v>5.0</v>
      </c>
      <c r="X399" s="50"/>
      <c r="Y399" s="50"/>
      <c r="Z399" s="87"/>
      <c r="AA399" s="50"/>
      <c r="AB399" s="50"/>
      <c r="AC399" s="50"/>
      <c r="AD399" s="50"/>
      <c r="AE399" s="50"/>
      <c r="AF399" s="50"/>
      <c r="AG399" s="50"/>
      <c r="AH399" s="50"/>
    </row>
    <row r="400" ht="15.75" customHeight="1">
      <c r="A400" s="36" t="s">
        <v>187</v>
      </c>
      <c r="B400" s="36" t="s">
        <v>1697</v>
      </c>
      <c r="C400" s="35" t="s">
        <v>1698</v>
      </c>
      <c r="D400" s="35" t="s">
        <v>1256</v>
      </c>
      <c r="E400" s="36" t="s">
        <v>730</v>
      </c>
      <c r="F400" s="36" t="s">
        <v>730</v>
      </c>
      <c r="G400" s="36" t="s">
        <v>1116</v>
      </c>
      <c r="H400" s="37" t="s">
        <v>1139</v>
      </c>
      <c r="I400" s="37"/>
      <c r="J400" s="38"/>
      <c r="K400" s="38"/>
      <c r="L400" s="38"/>
      <c r="M400" s="38"/>
      <c r="N400" s="38"/>
      <c r="O400" s="38"/>
      <c r="P400" s="38" t="s">
        <v>1098</v>
      </c>
      <c r="Q400" s="38"/>
      <c r="R400" s="37"/>
      <c r="S400" s="38"/>
      <c r="T400" s="38"/>
      <c r="U400" s="38"/>
      <c r="V400" s="37"/>
      <c r="W400" s="37"/>
    </row>
    <row r="401" ht="109.5" customHeight="1">
      <c r="A401" s="36" t="s">
        <v>187</v>
      </c>
      <c r="B401" s="36" t="s">
        <v>1697</v>
      </c>
      <c r="C401" s="35" t="s">
        <v>1698</v>
      </c>
      <c r="D401" s="35" t="s">
        <v>1256</v>
      </c>
      <c r="E401" s="36" t="s">
        <v>807</v>
      </c>
      <c r="F401" s="36" t="s">
        <v>807</v>
      </c>
      <c r="G401" s="36" t="s">
        <v>1116</v>
      </c>
      <c r="H401" s="37" t="s">
        <v>1139</v>
      </c>
      <c r="I401" s="37" t="s">
        <v>1798</v>
      </c>
      <c r="J401" s="38"/>
      <c r="K401" s="38"/>
      <c r="L401" s="38"/>
      <c r="M401" s="38"/>
      <c r="N401" s="38"/>
      <c r="O401" s="38"/>
      <c r="P401" s="38" t="s">
        <v>1098</v>
      </c>
      <c r="Q401" s="38"/>
      <c r="R401" s="37"/>
      <c r="S401" s="38"/>
      <c r="T401" s="38"/>
      <c r="U401" s="38"/>
      <c r="V401" s="37"/>
      <c r="W401" s="37"/>
    </row>
    <row r="402" ht="54.0" customHeight="1">
      <c r="A402" s="36" t="s">
        <v>187</v>
      </c>
      <c r="B402" s="36" t="s">
        <v>1697</v>
      </c>
      <c r="C402" s="35" t="s">
        <v>1698</v>
      </c>
      <c r="D402" s="35" t="s">
        <v>1256</v>
      </c>
      <c r="E402" s="36" t="s">
        <v>225</v>
      </c>
      <c r="F402" s="38"/>
      <c r="G402" s="38" t="s">
        <v>1089</v>
      </c>
      <c r="H402" s="37" t="s">
        <v>1369</v>
      </c>
      <c r="I402" s="37" t="s">
        <v>1337</v>
      </c>
      <c r="J402" s="38"/>
      <c r="K402" s="38"/>
      <c r="L402" s="39">
        <v>1000000.0</v>
      </c>
      <c r="M402" s="39">
        <v>1000000.0</v>
      </c>
      <c r="N402" s="39">
        <v>0.0</v>
      </c>
      <c r="O402" s="39">
        <f t="shared" ref="O402:O431" si="65">M402+N402</f>
        <v>1000000</v>
      </c>
      <c r="P402" s="36">
        <f t="shared" ref="P402:P403" si="66">IF(AND((M402+N402)&gt;0,L402=0),"No Funding Goal",IF(AND((M402+N402)=0,L402=0),0,(M402+N402)/L402))</f>
        <v>1</v>
      </c>
      <c r="Q402" s="36"/>
      <c r="R402" s="45" t="s">
        <v>1371</v>
      </c>
      <c r="S402" s="38" t="s">
        <v>1100</v>
      </c>
      <c r="T402" s="36" t="s">
        <v>1112</v>
      </c>
      <c r="U402" s="36" t="str">
        <f t="shared" ref="U402:U431" si="67">IFS(
    P402="No Funding Goal","Not Included",
    P402="Not Applicable","Not Included",
    P402&gt;=0.75,"1. Easy",
    AND(P402&lt;0.75,P402&gt;=0.5),"2. Moderate",
    P402&lt;0.5,"3. Difficult"
)</f>
        <v>1. Easy</v>
      </c>
      <c r="V402" s="36"/>
      <c r="W402" s="38" t="s">
        <v>1531</v>
      </c>
      <c r="AI402" s="68"/>
    </row>
    <row r="403" ht="15.75" customHeight="1">
      <c r="A403" s="36" t="s">
        <v>187</v>
      </c>
      <c r="B403" s="36" t="s">
        <v>1697</v>
      </c>
      <c r="C403" s="35" t="s">
        <v>1698</v>
      </c>
      <c r="D403" s="35" t="s">
        <v>1256</v>
      </c>
      <c r="E403" s="36" t="s">
        <v>314</v>
      </c>
      <c r="F403" s="38"/>
      <c r="G403" s="38" t="s">
        <v>1089</v>
      </c>
      <c r="H403" s="37" t="s">
        <v>1369</v>
      </c>
      <c r="I403" s="37" t="s">
        <v>1370</v>
      </c>
      <c r="J403" s="38"/>
      <c r="K403" s="38"/>
      <c r="L403" s="39">
        <v>2200000.0</v>
      </c>
      <c r="M403" s="39">
        <f>2200000-N403</f>
        <v>1966836.62</v>
      </c>
      <c r="N403" s="39">
        <v>233163.38</v>
      </c>
      <c r="O403" s="39">
        <f t="shared" si="65"/>
        <v>2200000</v>
      </c>
      <c r="P403" s="36">
        <f t="shared" si="66"/>
        <v>1</v>
      </c>
      <c r="Q403" s="36"/>
      <c r="R403" s="45" t="s">
        <v>1371</v>
      </c>
      <c r="S403" s="36" t="s">
        <v>1100</v>
      </c>
      <c r="T403" s="36" t="s">
        <v>1112</v>
      </c>
      <c r="U403" s="36" t="str">
        <f t="shared" si="67"/>
        <v>1. Easy</v>
      </c>
      <c r="V403" s="36" t="s">
        <v>1895</v>
      </c>
      <c r="W403" s="37" t="s">
        <v>1792</v>
      </c>
      <c r="X403" s="40"/>
      <c r="Y403" s="40"/>
      <c r="Z403" s="40"/>
      <c r="AA403" s="40"/>
      <c r="AB403" s="40"/>
      <c r="AC403" s="40"/>
      <c r="AD403" s="40"/>
      <c r="AE403" s="40"/>
      <c r="AF403" s="40"/>
      <c r="AG403" s="40"/>
      <c r="AH403" s="40"/>
      <c r="AI403" s="40"/>
    </row>
    <row r="404" ht="15.75" customHeight="1">
      <c r="A404" s="35" t="s">
        <v>396</v>
      </c>
      <c r="B404" s="36" t="s">
        <v>1509</v>
      </c>
      <c r="C404" s="35" t="s">
        <v>1510</v>
      </c>
      <c r="D404" s="35" t="s">
        <v>1256</v>
      </c>
      <c r="E404" s="36" t="s">
        <v>234</v>
      </c>
      <c r="F404" s="36" t="s">
        <v>421</v>
      </c>
      <c r="G404" s="35" t="s">
        <v>1167</v>
      </c>
      <c r="H404" s="36" t="s">
        <v>1090</v>
      </c>
      <c r="I404" s="74" t="s">
        <v>1312</v>
      </c>
      <c r="J404" s="38"/>
      <c r="K404" s="39">
        <v>4000000.0</v>
      </c>
      <c r="L404" s="72">
        <v>0.0</v>
      </c>
      <c r="M404" s="72">
        <v>0.0</v>
      </c>
      <c r="N404" s="72">
        <v>0.0</v>
      </c>
      <c r="O404" s="72">
        <f t="shared" si="65"/>
        <v>0</v>
      </c>
      <c r="P404" s="35">
        <v>0.0</v>
      </c>
      <c r="Q404" s="36"/>
      <c r="R404" s="38" t="s">
        <v>1092</v>
      </c>
      <c r="S404" s="36" t="s">
        <v>1093</v>
      </c>
      <c r="T404" s="38" t="s">
        <v>1094</v>
      </c>
      <c r="U404" s="36" t="str">
        <f t="shared" si="67"/>
        <v>3. Difficult</v>
      </c>
      <c r="V404" s="36" t="s">
        <v>1612</v>
      </c>
      <c r="W404" s="36" t="s">
        <v>1803</v>
      </c>
      <c r="X404" s="45"/>
      <c r="Y404" s="45"/>
      <c r="Z404" s="40"/>
      <c r="AA404" s="40"/>
      <c r="AB404" s="40"/>
      <c r="AC404" s="40"/>
      <c r="AD404" s="40"/>
      <c r="AE404" s="40"/>
      <c r="AF404" s="40"/>
      <c r="AG404" s="40"/>
      <c r="AH404" s="40"/>
      <c r="AI404" s="40"/>
    </row>
    <row r="405" ht="75.0" customHeight="1">
      <c r="A405" s="36" t="s">
        <v>396</v>
      </c>
      <c r="B405" s="36" t="s">
        <v>1509</v>
      </c>
      <c r="C405" s="35" t="s">
        <v>1510</v>
      </c>
      <c r="D405" s="35" t="s">
        <v>1256</v>
      </c>
      <c r="E405" s="36" t="s">
        <v>428</v>
      </c>
      <c r="F405" s="36" t="s">
        <v>428</v>
      </c>
      <c r="G405" s="36" t="s">
        <v>1089</v>
      </c>
      <c r="H405" s="37" t="s">
        <v>240</v>
      </c>
      <c r="I405" s="37"/>
      <c r="J405" s="38"/>
      <c r="K405" s="38"/>
      <c r="L405" s="42">
        <v>1500000.0</v>
      </c>
      <c r="M405" s="42">
        <v>0.0</v>
      </c>
      <c r="N405" s="42">
        <v>0.0</v>
      </c>
      <c r="O405" s="39">
        <f t="shared" si="65"/>
        <v>0</v>
      </c>
      <c r="P405" s="36">
        <f>IF(AND((M405+N405)&gt;0,L405=0),"No Funding Goal",IF(AND((M405+N405)=0,L405=0),0,(M405+N405)/L405))</f>
        <v>0</v>
      </c>
      <c r="Q405" s="36"/>
      <c r="R405" s="37" t="s">
        <v>1092</v>
      </c>
      <c r="S405" s="38" t="s">
        <v>1093</v>
      </c>
      <c r="T405" s="38" t="s">
        <v>1286</v>
      </c>
      <c r="U405" s="36" t="str">
        <f t="shared" si="67"/>
        <v>3. Difficult</v>
      </c>
      <c r="V405" s="38" t="s">
        <v>1896</v>
      </c>
      <c r="W405" s="38" t="s">
        <v>1612</v>
      </c>
    </row>
    <row r="406" ht="75.0" customHeight="1">
      <c r="A406" s="36" t="s">
        <v>396</v>
      </c>
      <c r="B406" s="36" t="s">
        <v>1509</v>
      </c>
      <c r="C406" s="35" t="s">
        <v>1510</v>
      </c>
      <c r="D406" s="35" t="s">
        <v>1256</v>
      </c>
      <c r="E406" s="36" t="s">
        <v>255</v>
      </c>
      <c r="F406" s="36" t="s">
        <v>439</v>
      </c>
      <c r="G406" s="36" t="s">
        <v>1089</v>
      </c>
      <c r="H406" s="38" t="s">
        <v>1777</v>
      </c>
      <c r="I406" s="38"/>
      <c r="J406" s="38"/>
      <c r="K406" s="42"/>
      <c r="L406" s="39">
        <v>1000000.0</v>
      </c>
      <c r="M406" s="39">
        <v>0.0</v>
      </c>
      <c r="N406" s="39">
        <v>1223990.0</v>
      </c>
      <c r="O406" s="39">
        <f t="shared" si="65"/>
        <v>1223990</v>
      </c>
      <c r="P406" s="36">
        <f>IF(AND((M406+N406)&gt;0,L406=0),"No Funding Goal",
   IF(AND((M406+N406)=0,L406=0),0,
      MIN((M406+N406)/L406,1)
   )
)
</f>
        <v>1</v>
      </c>
      <c r="Q406" s="36" t="s">
        <v>1259</v>
      </c>
      <c r="R406" s="37" t="s">
        <v>1780</v>
      </c>
      <c r="S406" s="38" t="s">
        <v>1093</v>
      </c>
      <c r="T406" s="38" t="s">
        <v>1112</v>
      </c>
      <c r="U406" s="36" t="str">
        <f t="shared" si="67"/>
        <v>1. Easy</v>
      </c>
      <c r="V406" s="36" t="s">
        <v>1778</v>
      </c>
      <c r="W406" s="36"/>
    </row>
    <row r="407" ht="75.0" customHeight="1">
      <c r="A407" s="36" t="s">
        <v>396</v>
      </c>
      <c r="B407" s="36" t="s">
        <v>1509</v>
      </c>
      <c r="C407" s="35" t="s">
        <v>1510</v>
      </c>
      <c r="D407" s="35" t="s">
        <v>1256</v>
      </c>
      <c r="E407" s="36" t="s">
        <v>463</v>
      </c>
      <c r="F407" s="36" t="s">
        <v>464</v>
      </c>
      <c r="G407" s="36" t="s">
        <v>1089</v>
      </c>
      <c r="H407" s="38" t="s">
        <v>153</v>
      </c>
      <c r="I407" s="38" t="s">
        <v>1779</v>
      </c>
      <c r="J407" s="88" t="s">
        <v>1897</v>
      </c>
      <c r="K407" s="88">
        <v>230000.0</v>
      </c>
      <c r="L407" s="42">
        <v>230000.0</v>
      </c>
      <c r="M407" s="42"/>
      <c r="N407" s="42">
        <v>144500.0</v>
      </c>
      <c r="O407" s="39">
        <f t="shared" si="65"/>
        <v>144500</v>
      </c>
      <c r="P407" s="36">
        <f t="shared" ref="P407:P408" si="68">IF(AND((M407+N407)&gt;0,L407=0),"No Funding Goal",IF(AND((M407+N407)=0,L407=0),0,(M407+N407)/L407))</f>
        <v>0.6282608696</v>
      </c>
      <c r="Q407" s="36" t="s">
        <v>1259</v>
      </c>
      <c r="R407" s="37" t="s">
        <v>1780</v>
      </c>
      <c r="S407" s="38" t="s">
        <v>1093</v>
      </c>
      <c r="T407" s="38" t="s">
        <v>1094</v>
      </c>
      <c r="U407" s="36" t="str">
        <f t="shared" si="67"/>
        <v>2. Moderate</v>
      </c>
      <c r="V407" s="38" t="s">
        <v>1898</v>
      </c>
      <c r="W407" s="38" t="s">
        <v>1899</v>
      </c>
      <c r="X407" s="50"/>
      <c r="Y407" s="50"/>
      <c r="Z407" s="50"/>
      <c r="AA407" s="50"/>
      <c r="AB407" s="50"/>
      <c r="AC407" s="50"/>
      <c r="AD407" s="50"/>
      <c r="AE407" s="50"/>
      <c r="AF407" s="50"/>
      <c r="AG407" s="50"/>
      <c r="AH407" s="50"/>
    </row>
    <row r="408" ht="15.75" customHeight="1">
      <c r="A408" s="36" t="s">
        <v>396</v>
      </c>
      <c r="B408" s="36" t="s">
        <v>1509</v>
      </c>
      <c r="C408" s="35" t="s">
        <v>1510</v>
      </c>
      <c r="D408" s="35" t="s">
        <v>1256</v>
      </c>
      <c r="E408" s="36" t="s">
        <v>442</v>
      </c>
      <c r="F408" s="36" t="s">
        <v>443</v>
      </c>
      <c r="G408" s="36" t="s">
        <v>1089</v>
      </c>
      <c r="H408" s="38" t="s">
        <v>153</v>
      </c>
      <c r="I408" s="38" t="s">
        <v>1779</v>
      </c>
      <c r="J408" s="42" t="s">
        <v>1900</v>
      </c>
      <c r="K408" s="42">
        <v>2500000.0</v>
      </c>
      <c r="L408" s="42">
        <v>4500000.0</v>
      </c>
      <c r="M408" s="42">
        <f>2832883.57-N408</f>
        <v>284405.02</v>
      </c>
      <c r="N408" s="42">
        <v>2548478.55</v>
      </c>
      <c r="O408" s="39">
        <f t="shared" si="65"/>
        <v>2832883.57</v>
      </c>
      <c r="P408" s="36">
        <f t="shared" si="68"/>
        <v>0.6295296822</v>
      </c>
      <c r="Q408" s="36" t="s">
        <v>1259</v>
      </c>
      <c r="R408" s="37" t="s">
        <v>1780</v>
      </c>
      <c r="S408" s="38" t="s">
        <v>1093</v>
      </c>
      <c r="T408" s="38" t="s">
        <v>1094</v>
      </c>
      <c r="U408" s="36" t="str">
        <f t="shared" si="67"/>
        <v>2. Moderate</v>
      </c>
      <c r="V408" s="38" t="s">
        <v>1901</v>
      </c>
      <c r="W408" s="38"/>
      <c r="X408" s="50"/>
      <c r="Y408" s="50"/>
      <c r="Z408" s="50"/>
      <c r="AA408" s="50"/>
      <c r="AB408" s="50"/>
      <c r="AC408" s="50"/>
      <c r="AD408" s="50"/>
      <c r="AE408" s="50"/>
      <c r="AF408" s="50"/>
      <c r="AG408" s="50"/>
      <c r="AH408" s="50"/>
    </row>
    <row r="409" ht="15.75" customHeight="1">
      <c r="A409" s="35" t="s">
        <v>396</v>
      </c>
      <c r="B409" s="36" t="s">
        <v>1509</v>
      </c>
      <c r="C409" s="35" t="s">
        <v>1510</v>
      </c>
      <c r="D409" s="35" t="s">
        <v>1256</v>
      </c>
      <c r="E409" s="38" t="s">
        <v>1902</v>
      </c>
      <c r="F409" s="37"/>
      <c r="G409" s="38" t="s">
        <v>1089</v>
      </c>
      <c r="H409" s="37" t="s">
        <v>1157</v>
      </c>
      <c r="I409" s="37" t="s">
        <v>1903</v>
      </c>
      <c r="J409" s="38"/>
      <c r="K409" s="38"/>
      <c r="L409" s="39">
        <v>1000000.0</v>
      </c>
      <c r="M409" s="39">
        <v>1000000.0</v>
      </c>
      <c r="N409" s="39">
        <v>0.0</v>
      </c>
      <c r="O409" s="39">
        <f t="shared" si="65"/>
        <v>1000000</v>
      </c>
      <c r="P409" s="36">
        <f>IF(AND((M409+N409)&gt;0,L409=0),"1",IF(AND((M409+N409)=0,L409=0),0,(M409+N409)/L409))</f>
        <v>1</v>
      </c>
      <c r="Q409" s="36"/>
      <c r="R409" s="36" t="s">
        <v>1159</v>
      </c>
      <c r="S409" s="36" t="s">
        <v>1105</v>
      </c>
      <c r="T409" s="38" t="s">
        <v>1112</v>
      </c>
      <c r="U409" s="36" t="str">
        <f t="shared" si="67"/>
        <v>1. Easy</v>
      </c>
      <c r="V409" s="79" t="s">
        <v>1904</v>
      </c>
      <c r="W409" s="38" t="s">
        <v>1612</v>
      </c>
      <c r="X409" s="40"/>
      <c r="Y409" s="40"/>
      <c r="Z409" s="40"/>
      <c r="AA409" s="40"/>
      <c r="AB409" s="40"/>
      <c r="AC409" s="40"/>
      <c r="AD409" s="40"/>
      <c r="AE409" s="40"/>
      <c r="AF409" s="40"/>
      <c r="AG409" s="40"/>
      <c r="AH409" s="40"/>
      <c r="AI409" s="45"/>
    </row>
    <row r="410" ht="69.75" customHeight="1">
      <c r="A410" s="35" t="s">
        <v>396</v>
      </c>
      <c r="B410" s="36" t="s">
        <v>1509</v>
      </c>
      <c r="C410" s="35" t="s">
        <v>1510</v>
      </c>
      <c r="D410" s="35" t="s">
        <v>1256</v>
      </c>
      <c r="E410" s="38" t="s">
        <v>1905</v>
      </c>
      <c r="F410" s="37"/>
      <c r="G410" s="38" t="s">
        <v>1089</v>
      </c>
      <c r="H410" s="37" t="s">
        <v>1157</v>
      </c>
      <c r="I410" s="37" t="s">
        <v>1158</v>
      </c>
      <c r="J410" s="38"/>
      <c r="K410" s="38"/>
      <c r="L410" s="39"/>
      <c r="M410" s="39"/>
      <c r="N410" s="39"/>
      <c r="O410" s="39">
        <f t="shared" si="65"/>
        <v>0</v>
      </c>
      <c r="P410" s="38" t="s">
        <v>1098</v>
      </c>
      <c r="Q410" s="36"/>
      <c r="R410" s="36" t="s">
        <v>1159</v>
      </c>
      <c r="S410" s="36" t="s">
        <v>1105</v>
      </c>
      <c r="T410" s="38" t="s">
        <v>1112</v>
      </c>
      <c r="U410" s="36" t="str">
        <f t="shared" si="67"/>
        <v>Not Included</v>
      </c>
      <c r="V410" s="79" t="s">
        <v>1906</v>
      </c>
      <c r="W410" s="38" t="s">
        <v>1612</v>
      </c>
      <c r="X410" s="40"/>
      <c r="Y410" s="40"/>
      <c r="Z410" s="40"/>
      <c r="AA410" s="40"/>
      <c r="AB410" s="40"/>
      <c r="AC410" s="40"/>
      <c r="AD410" s="40"/>
      <c r="AE410" s="40"/>
      <c r="AF410" s="40"/>
      <c r="AG410" s="40"/>
      <c r="AH410" s="40"/>
      <c r="AI410" s="45"/>
    </row>
    <row r="411" ht="15.75" customHeight="1">
      <c r="A411" s="35" t="s">
        <v>396</v>
      </c>
      <c r="B411" s="36" t="s">
        <v>1509</v>
      </c>
      <c r="C411" s="35" t="s">
        <v>1510</v>
      </c>
      <c r="D411" s="35" t="s">
        <v>1256</v>
      </c>
      <c r="E411" s="36" t="s">
        <v>1907</v>
      </c>
      <c r="F411" s="36" t="s">
        <v>1907</v>
      </c>
      <c r="G411" s="36" t="s">
        <v>1089</v>
      </c>
      <c r="H411" s="52" t="s">
        <v>1192</v>
      </c>
      <c r="I411" s="52" t="s">
        <v>1908</v>
      </c>
      <c r="J411" s="36"/>
      <c r="K411" s="36"/>
      <c r="L411" s="39"/>
      <c r="M411" s="39"/>
      <c r="N411" s="39"/>
      <c r="O411" s="39">
        <f t="shared" si="65"/>
        <v>0</v>
      </c>
      <c r="P411" s="36" t="s">
        <v>1098</v>
      </c>
      <c r="Q411" s="36"/>
      <c r="R411" s="36" t="s">
        <v>1780</v>
      </c>
      <c r="S411" s="36" t="s">
        <v>1105</v>
      </c>
      <c r="T411" s="38" t="s">
        <v>1094</v>
      </c>
      <c r="U411" s="36" t="str">
        <f t="shared" si="67"/>
        <v>Not Included</v>
      </c>
      <c r="V411" s="36" t="s">
        <v>1909</v>
      </c>
      <c r="W411" s="36" t="s">
        <v>1612</v>
      </c>
      <c r="X411" s="40"/>
      <c r="Y411" s="40"/>
      <c r="Z411" s="40"/>
      <c r="AA411" s="40"/>
      <c r="AB411" s="40"/>
      <c r="AC411" s="40"/>
      <c r="AD411" s="40"/>
      <c r="AE411" s="40"/>
      <c r="AF411" s="40"/>
      <c r="AG411" s="40"/>
      <c r="AH411" s="40"/>
      <c r="AI411" s="45"/>
    </row>
    <row r="412" ht="15.75" customHeight="1">
      <c r="A412" s="35" t="s">
        <v>396</v>
      </c>
      <c r="B412" s="36" t="s">
        <v>1509</v>
      </c>
      <c r="C412" s="35" t="s">
        <v>1510</v>
      </c>
      <c r="D412" s="35" t="s">
        <v>1256</v>
      </c>
      <c r="E412" s="36" t="s">
        <v>1910</v>
      </c>
      <c r="F412" s="36" t="s">
        <v>1910</v>
      </c>
      <c r="G412" s="36" t="s">
        <v>1089</v>
      </c>
      <c r="H412" s="40" t="s">
        <v>1192</v>
      </c>
      <c r="I412" s="40" t="s">
        <v>1908</v>
      </c>
      <c r="J412" s="52" t="s">
        <v>1911</v>
      </c>
      <c r="K412" s="36"/>
      <c r="L412" s="39"/>
      <c r="M412" s="39"/>
      <c r="N412" s="39"/>
      <c r="O412" s="39">
        <f t="shared" si="65"/>
        <v>0</v>
      </c>
      <c r="P412" s="36" t="s">
        <v>1098</v>
      </c>
      <c r="Q412" s="36"/>
      <c r="R412" s="36" t="s">
        <v>1780</v>
      </c>
      <c r="S412" s="36" t="s">
        <v>1105</v>
      </c>
      <c r="T412" s="38" t="s">
        <v>1094</v>
      </c>
      <c r="U412" s="36" t="str">
        <f t="shared" si="67"/>
        <v>Not Included</v>
      </c>
      <c r="V412" s="36" t="s">
        <v>1912</v>
      </c>
      <c r="W412" s="36" t="s">
        <v>1612</v>
      </c>
      <c r="X412" s="40"/>
      <c r="Y412" s="40"/>
      <c r="Z412" s="40"/>
      <c r="AA412" s="40"/>
      <c r="AB412" s="40"/>
      <c r="AC412" s="40"/>
      <c r="AD412" s="40"/>
      <c r="AE412" s="40"/>
      <c r="AF412" s="40"/>
      <c r="AG412" s="40"/>
      <c r="AH412" s="40"/>
      <c r="AI412" s="45"/>
    </row>
    <row r="413" ht="57.0" customHeight="1">
      <c r="A413" s="35" t="s">
        <v>396</v>
      </c>
      <c r="B413" s="36" t="s">
        <v>1509</v>
      </c>
      <c r="C413" s="35" t="s">
        <v>1510</v>
      </c>
      <c r="D413" s="35" t="s">
        <v>1256</v>
      </c>
      <c r="E413" s="38" t="s">
        <v>1913</v>
      </c>
      <c r="F413" s="38" t="s">
        <v>1914</v>
      </c>
      <c r="G413" s="36" t="s">
        <v>1089</v>
      </c>
      <c r="H413" s="37" t="s">
        <v>1117</v>
      </c>
      <c r="I413" s="37" t="s">
        <v>112</v>
      </c>
      <c r="J413" s="38"/>
      <c r="K413" s="38"/>
      <c r="L413" s="39"/>
      <c r="M413" s="39"/>
      <c r="N413" s="39"/>
      <c r="O413" s="39">
        <f t="shared" si="65"/>
        <v>0</v>
      </c>
      <c r="P413" s="38" t="s">
        <v>1098</v>
      </c>
      <c r="Q413" s="38"/>
      <c r="R413" s="37" t="s">
        <v>1352</v>
      </c>
      <c r="S413" s="36" t="s">
        <v>1105</v>
      </c>
      <c r="T413" s="36" t="s">
        <v>1112</v>
      </c>
      <c r="U413" s="36" t="str">
        <f t="shared" si="67"/>
        <v>Not Included</v>
      </c>
      <c r="V413" s="36" t="s">
        <v>1915</v>
      </c>
      <c r="W413" s="38" t="s">
        <v>1612</v>
      </c>
      <c r="X413" s="40"/>
      <c r="Y413" s="40"/>
      <c r="Z413" s="40"/>
      <c r="AA413" s="40"/>
      <c r="AB413" s="40"/>
      <c r="AC413" s="40"/>
      <c r="AD413" s="40"/>
      <c r="AE413" s="40"/>
      <c r="AF413" s="40"/>
      <c r="AG413" s="40"/>
      <c r="AH413" s="40"/>
      <c r="AI413" s="45"/>
    </row>
    <row r="414" ht="57.0" customHeight="1">
      <c r="A414" s="35" t="s">
        <v>396</v>
      </c>
      <c r="B414" s="36" t="s">
        <v>1509</v>
      </c>
      <c r="C414" s="35" t="s">
        <v>1510</v>
      </c>
      <c r="D414" s="35" t="s">
        <v>1256</v>
      </c>
      <c r="E414" s="38" t="s">
        <v>1916</v>
      </c>
      <c r="F414" s="38" t="s">
        <v>1916</v>
      </c>
      <c r="G414" s="36" t="s">
        <v>1089</v>
      </c>
      <c r="H414" s="37" t="s">
        <v>1117</v>
      </c>
      <c r="I414" s="37" t="s">
        <v>26</v>
      </c>
      <c r="J414" s="38" t="s">
        <v>1917</v>
      </c>
      <c r="K414" s="38"/>
      <c r="L414" s="39"/>
      <c r="M414" s="39"/>
      <c r="N414" s="39"/>
      <c r="O414" s="39">
        <f t="shared" si="65"/>
        <v>0</v>
      </c>
      <c r="P414" s="38" t="s">
        <v>1098</v>
      </c>
      <c r="Q414" s="38"/>
      <c r="R414" s="36" t="s">
        <v>1092</v>
      </c>
      <c r="S414" s="36" t="s">
        <v>1105</v>
      </c>
      <c r="T414" s="36" t="s">
        <v>1112</v>
      </c>
      <c r="U414" s="36" t="str">
        <f t="shared" si="67"/>
        <v>Not Included</v>
      </c>
      <c r="V414" s="36" t="s">
        <v>1918</v>
      </c>
      <c r="W414" s="38" t="s">
        <v>1612</v>
      </c>
      <c r="X414" s="40"/>
      <c r="Y414" s="40"/>
      <c r="Z414" s="40"/>
      <c r="AA414" s="40"/>
      <c r="AB414" s="40"/>
      <c r="AC414" s="40"/>
      <c r="AD414" s="40"/>
      <c r="AE414" s="40"/>
      <c r="AF414" s="40"/>
      <c r="AG414" s="40"/>
      <c r="AH414" s="40"/>
      <c r="AI414" s="45"/>
    </row>
    <row r="415" ht="57.0" customHeight="1">
      <c r="A415" s="35" t="s">
        <v>396</v>
      </c>
      <c r="B415" s="36" t="s">
        <v>1509</v>
      </c>
      <c r="C415" s="35" t="s">
        <v>1510</v>
      </c>
      <c r="D415" s="35" t="s">
        <v>1256</v>
      </c>
      <c r="E415" s="38" t="s">
        <v>1816</v>
      </c>
      <c r="F415" s="38" t="s">
        <v>1816</v>
      </c>
      <c r="G415" s="36" t="s">
        <v>1089</v>
      </c>
      <c r="H415" s="37" t="s">
        <v>1117</v>
      </c>
      <c r="I415" s="37" t="s">
        <v>1214</v>
      </c>
      <c r="J415" s="38" t="s">
        <v>1919</v>
      </c>
      <c r="K415" s="38"/>
      <c r="L415" s="39"/>
      <c r="M415" s="39"/>
      <c r="N415" s="39"/>
      <c r="O415" s="39">
        <f t="shared" si="65"/>
        <v>0</v>
      </c>
      <c r="P415" s="38" t="s">
        <v>1098</v>
      </c>
      <c r="Q415" s="38"/>
      <c r="R415" s="36" t="s">
        <v>1583</v>
      </c>
      <c r="S415" s="36" t="s">
        <v>1105</v>
      </c>
      <c r="T415" s="36" t="s">
        <v>1112</v>
      </c>
      <c r="U415" s="36" t="str">
        <f t="shared" si="67"/>
        <v>Not Included</v>
      </c>
      <c r="V415" s="36" t="s">
        <v>1920</v>
      </c>
      <c r="W415" s="38" t="s">
        <v>1612</v>
      </c>
      <c r="X415" s="40"/>
      <c r="Y415" s="40"/>
      <c r="Z415" s="40"/>
      <c r="AA415" s="40"/>
      <c r="AB415" s="40"/>
      <c r="AC415" s="40"/>
      <c r="AD415" s="40"/>
      <c r="AE415" s="40"/>
      <c r="AF415" s="40"/>
      <c r="AG415" s="40"/>
      <c r="AH415" s="40"/>
      <c r="AI415" s="45"/>
    </row>
    <row r="416" ht="57.0" customHeight="1">
      <c r="A416" s="35" t="s">
        <v>396</v>
      </c>
      <c r="B416" s="36" t="s">
        <v>1509</v>
      </c>
      <c r="C416" s="35" t="s">
        <v>1510</v>
      </c>
      <c r="D416" s="35" t="s">
        <v>1256</v>
      </c>
      <c r="E416" s="38" t="s">
        <v>1921</v>
      </c>
      <c r="F416" s="37"/>
      <c r="G416" s="36" t="str">
        <f>IF(J416&lt;&gt;"CARB", "yes", "CARB")</f>
        <v>yes</v>
      </c>
      <c r="H416" s="37" t="s">
        <v>162</v>
      </c>
      <c r="I416" s="37" t="s">
        <v>1239</v>
      </c>
      <c r="J416" s="38"/>
      <c r="K416" s="38"/>
      <c r="L416" s="39"/>
      <c r="M416" s="39"/>
      <c r="N416" s="39"/>
      <c r="O416" s="39">
        <f t="shared" si="65"/>
        <v>0</v>
      </c>
      <c r="P416" s="38" t="s">
        <v>1098</v>
      </c>
      <c r="Q416" s="38"/>
      <c r="R416" s="37" t="s">
        <v>1092</v>
      </c>
      <c r="S416" s="36" t="s">
        <v>1100</v>
      </c>
      <c r="T416" s="38" t="s">
        <v>1112</v>
      </c>
      <c r="U416" s="36" t="str">
        <f t="shared" si="67"/>
        <v>Not Included</v>
      </c>
      <c r="V416" s="38" t="s">
        <v>1922</v>
      </c>
      <c r="W416" s="38" t="s">
        <v>1612</v>
      </c>
      <c r="X416" s="40"/>
      <c r="Y416" s="40"/>
      <c r="Z416" s="40"/>
      <c r="AA416" s="40"/>
      <c r="AB416" s="40"/>
      <c r="AC416" s="40"/>
      <c r="AD416" s="40"/>
      <c r="AE416" s="40"/>
      <c r="AF416" s="40"/>
      <c r="AG416" s="40"/>
      <c r="AH416" s="40"/>
      <c r="AI416" s="45"/>
    </row>
    <row r="417" ht="96.0" customHeight="1">
      <c r="A417" s="36" t="s">
        <v>538</v>
      </c>
      <c r="B417" s="36" t="s">
        <v>1086</v>
      </c>
      <c r="C417" s="35" t="s">
        <v>1087</v>
      </c>
      <c r="D417" s="35" t="s">
        <v>1088</v>
      </c>
      <c r="E417" s="36" t="s">
        <v>934</v>
      </c>
      <c r="F417" s="36" t="s">
        <v>935</v>
      </c>
      <c r="G417" s="36" t="s">
        <v>1089</v>
      </c>
      <c r="H417" s="38" t="s">
        <v>1257</v>
      </c>
      <c r="I417" s="38" t="s">
        <v>1265</v>
      </c>
      <c r="J417" s="38" t="s">
        <v>1279</v>
      </c>
      <c r="K417" s="38"/>
      <c r="L417" s="42">
        <v>0.0</v>
      </c>
      <c r="M417" s="42"/>
      <c r="N417" s="42">
        <v>0.0</v>
      </c>
      <c r="O417" s="39">
        <f t="shared" si="65"/>
        <v>0</v>
      </c>
      <c r="P417" s="36">
        <f t="shared" ref="P417:P418" si="69">IF(AND((M417+N417)&gt;0,L417=0),"1",IF(AND((M417+N417)=0,L417=0),0,(M417+N417)/L417))</f>
        <v>0</v>
      </c>
      <c r="Q417" s="36"/>
      <c r="R417" s="38" t="s">
        <v>1317</v>
      </c>
      <c r="S417" s="38" t="s">
        <v>1105</v>
      </c>
      <c r="T417" s="36" t="s">
        <v>1112</v>
      </c>
      <c r="U417" s="36" t="str">
        <f t="shared" si="67"/>
        <v>3. Difficult</v>
      </c>
      <c r="V417" s="38" t="s">
        <v>1923</v>
      </c>
      <c r="W417" s="38" t="s">
        <v>1924</v>
      </c>
    </row>
    <row r="418" ht="96.0" customHeight="1">
      <c r="A418" s="36" t="s">
        <v>538</v>
      </c>
      <c r="B418" s="36" t="s">
        <v>1086</v>
      </c>
      <c r="C418" s="35" t="s">
        <v>1087</v>
      </c>
      <c r="D418" s="35" t="s">
        <v>1088</v>
      </c>
      <c r="E418" s="36" t="s">
        <v>560</v>
      </c>
      <c r="F418" s="36" t="s">
        <v>560</v>
      </c>
      <c r="G418" s="36" t="s">
        <v>1089</v>
      </c>
      <c r="H418" s="38" t="s">
        <v>1257</v>
      </c>
      <c r="I418" s="38" t="s">
        <v>1265</v>
      </c>
      <c r="J418" s="38" t="s">
        <v>1695</v>
      </c>
      <c r="K418" s="38"/>
      <c r="L418" s="42"/>
      <c r="M418" s="42">
        <f> 6500000-N418</f>
        <v>6492700</v>
      </c>
      <c r="N418" s="42">
        <v>7300.0</v>
      </c>
      <c r="O418" s="39">
        <f t="shared" si="65"/>
        <v>6500000</v>
      </c>
      <c r="P418" s="36" t="str">
        <f t="shared" si="69"/>
        <v>1</v>
      </c>
      <c r="Q418" s="36"/>
      <c r="R418" s="36" t="s">
        <v>1092</v>
      </c>
      <c r="S418" s="38" t="s">
        <v>1105</v>
      </c>
      <c r="T418" s="36" t="s">
        <v>1112</v>
      </c>
      <c r="U418" s="36" t="str">
        <f t="shared" si="67"/>
        <v>1. Easy</v>
      </c>
      <c r="V418" s="38" t="s">
        <v>1925</v>
      </c>
      <c r="W418" s="38" t="s">
        <v>1926</v>
      </c>
    </row>
    <row r="419" ht="88.5" customHeight="1">
      <c r="A419" s="35" t="s">
        <v>396</v>
      </c>
      <c r="B419" s="36" t="s">
        <v>1509</v>
      </c>
      <c r="C419" s="35" t="s">
        <v>1510</v>
      </c>
      <c r="D419" s="35" t="s">
        <v>1256</v>
      </c>
      <c r="E419" s="38" t="s">
        <v>1927</v>
      </c>
      <c r="F419" s="37"/>
      <c r="G419" s="37" t="s">
        <v>1089</v>
      </c>
      <c r="H419" s="37" t="s">
        <v>1309</v>
      </c>
      <c r="I419" s="37" t="s">
        <v>1833</v>
      </c>
      <c r="J419" s="38"/>
      <c r="K419" s="38"/>
      <c r="L419" s="39">
        <v>0.0</v>
      </c>
      <c r="M419" s="39">
        <v>0.0</v>
      </c>
      <c r="N419" s="39">
        <v>0.0</v>
      </c>
      <c r="O419" s="39">
        <f t="shared" si="65"/>
        <v>0</v>
      </c>
      <c r="P419" s="36">
        <f>IF(AND(N419&gt;0,L419=0),"No Funding Goal",IF(AND(N419=0,L419=0),0,N419/L419))</f>
        <v>0</v>
      </c>
      <c r="Q419" s="36"/>
      <c r="R419" s="36"/>
      <c r="S419" s="36" t="s">
        <v>1093</v>
      </c>
      <c r="T419" s="36" t="s">
        <v>1094</v>
      </c>
      <c r="U419" s="36" t="str">
        <f t="shared" si="67"/>
        <v>3. Difficult</v>
      </c>
      <c r="V419" s="79" t="s">
        <v>1928</v>
      </c>
      <c r="W419" s="38" t="s">
        <v>1612</v>
      </c>
      <c r="X419" s="40"/>
      <c r="Y419" s="40"/>
      <c r="Z419" s="40"/>
      <c r="AA419" s="40"/>
      <c r="AB419" s="40"/>
      <c r="AC419" s="40"/>
      <c r="AD419" s="40"/>
      <c r="AE419" s="40"/>
      <c r="AF419" s="40"/>
      <c r="AG419" s="40"/>
      <c r="AH419" s="40"/>
      <c r="AI419" s="45"/>
    </row>
    <row r="420" ht="57.0" customHeight="1">
      <c r="A420" s="36" t="s">
        <v>396</v>
      </c>
      <c r="B420" s="36" t="s">
        <v>1509</v>
      </c>
      <c r="C420" s="35" t="s">
        <v>1510</v>
      </c>
      <c r="D420" s="35" t="s">
        <v>1256</v>
      </c>
      <c r="E420" s="36" t="s">
        <v>476</v>
      </c>
      <c r="F420" s="36" t="s">
        <v>477</v>
      </c>
      <c r="G420" s="36" t="s">
        <v>1089</v>
      </c>
      <c r="H420" s="38" t="s">
        <v>1157</v>
      </c>
      <c r="I420" s="38" t="s">
        <v>1390</v>
      </c>
      <c r="J420" s="38" t="s">
        <v>1770</v>
      </c>
      <c r="K420" s="38"/>
      <c r="L420" s="42">
        <v>3375000.0</v>
      </c>
      <c r="M420" s="42">
        <f>
3375000-N420</f>
        <v>1268429.16</v>
      </c>
      <c r="N420" s="42">
        <f>1500000 +
606570.84</f>
        <v>2106570.84</v>
      </c>
      <c r="O420" s="39">
        <f t="shared" si="65"/>
        <v>3375000</v>
      </c>
      <c r="P420" s="36">
        <f>IF(AND((M420+N420)&gt;0,L420=0),"1",IF(AND((M420+N420)=0,L420=0),0,(M420+N420)/L420))</f>
        <v>1</v>
      </c>
      <c r="Q420" s="36"/>
      <c r="R420" s="36" t="s">
        <v>1159</v>
      </c>
      <c r="S420" s="36" t="s">
        <v>1093</v>
      </c>
      <c r="T420" s="38" t="s">
        <v>1112</v>
      </c>
      <c r="U420" s="36" t="str">
        <f t="shared" si="67"/>
        <v>1. Easy</v>
      </c>
      <c r="V420" s="38" t="s">
        <v>1929</v>
      </c>
      <c r="W420" s="38" t="s">
        <v>1307</v>
      </c>
    </row>
    <row r="421" ht="77.25" customHeight="1">
      <c r="A421" s="35" t="s">
        <v>396</v>
      </c>
      <c r="B421" s="36" t="s">
        <v>1509</v>
      </c>
      <c r="C421" s="35" t="s">
        <v>1510</v>
      </c>
      <c r="D421" s="35" t="s">
        <v>1256</v>
      </c>
      <c r="E421" s="36" t="s">
        <v>244</v>
      </c>
      <c r="F421" s="36" t="s">
        <v>433</v>
      </c>
      <c r="G421" s="36" t="s">
        <v>1089</v>
      </c>
      <c r="H421" s="37" t="s">
        <v>1090</v>
      </c>
      <c r="I421" s="37" t="s">
        <v>1800</v>
      </c>
      <c r="J421" s="38"/>
      <c r="K421" s="38"/>
      <c r="L421" s="42">
        <v>100000.0</v>
      </c>
      <c r="M421" s="42">
        <v>100000.0</v>
      </c>
      <c r="N421" s="42">
        <v>0.0</v>
      </c>
      <c r="O421" s="39">
        <f t="shared" si="65"/>
        <v>100000</v>
      </c>
      <c r="P421" s="36">
        <f>IF(AND((M421+N421)&gt;0,L421=0),"No Funding Goal",IF(AND((M421+N421)=0,L421=0),0,(M421+N421)/L421))</f>
        <v>1</v>
      </c>
      <c r="Q421" s="36"/>
      <c r="R421" s="38" t="s">
        <v>1092</v>
      </c>
      <c r="S421" s="38" t="s">
        <v>1093</v>
      </c>
      <c r="T421" s="38" t="s">
        <v>1112</v>
      </c>
      <c r="U421" s="36" t="str">
        <f t="shared" si="67"/>
        <v>1. Easy</v>
      </c>
      <c r="V421" s="38"/>
      <c r="W421" s="38"/>
      <c r="X421" s="40"/>
      <c r="Y421" s="40"/>
      <c r="Z421" s="40"/>
      <c r="AA421" s="40"/>
      <c r="AB421" s="40"/>
      <c r="AC421" s="40"/>
      <c r="AD421" s="40"/>
      <c r="AE421" s="40"/>
      <c r="AF421" s="40"/>
      <c r="AG421" s="40"/>
      <c r="AH421" s="40"/>
      <c r="AI421" s="40"/>
    </row>
    <row r="422" ht="83.25" customHeight="1">
      <c r="A422" s="36" t="s">
        <v>396</v>
      </c>
      <c r="B422" s="36" t="s">
        <v>1509</v>
      </c>
      <c r="C422" s="35" t="s">
        <v>1510</v>
      </c>
      <c r="D422" s="35" t="s">
        <v>1256</v>
      </c>
      <c r="E422" s="36" t="s">
        <v>305</v>
      </c>
      <c r="F422" s="36" t="s">
        <v>475</v>
      </c>
      <c r="G422" s="36" t="s">
        <v>1089</v>
      </c>
      <c r="H422" s="37" t="s">
        <v>1162</v>
      </c>
      <c r="I422" s="37" t="s">
        <v>1163</v>
      </c>
      <c r="J422" s="38"/>
      <c r="K422" s="38"/>
      <c r="L422" s="42"/>
      <c r="M422" s="42"/>
      <c r="N422" s="42"/>
      <c r="O422" s="39">
        <f t="shared" si="65"/>
        <v>0</v>
      </c>
      <c r="P422" s="38" t="s">
        <v>1098</v>
      </c>
      <c r="Q422" s="38"/>
      <c r="R422" s="37" t="s">
        <v>1371</v>
      </c>
      <c r="S422" s="38" t="s">
        <v>1105</v>
      </c>
      <c r="T422" s="38" t="s">
        <v>1112</v>
      </c>
      <c r="U422" s="36" t="str">
        <f t="shared" si="67"/>
        <v>Not Included</v>
      </c>
      <c r="V422" s="38" t="s">
        <v>1930</v>
      </c>
      <c r="W422" s="38" t="s">
        <v>1612</v>
      </c>
    </row>
    <row r="423" ht="163.5" customHeight="1">
      <c r="A423" s="35" t="s">
        <v>396</v>
      </c>
      <c r="B423" s="36" t="s">
        <v>1509</v>
      </c>
      <c r="C423" s="35" t="s">
        <v>1510</v>
      </c>
      <c r="D423" s="35" t="s">
        <v>1256</v>
      </c>
      <c r="E423" s="38" t="s">
        <v>1931</v>
      </c>
      <c r="F423" s="37"/>
      <c r="G423" s="38" t="s">
        <v>1089</v>
      </c>
      <c r="H423" s="37" t="s">
        <v>1314</v>
      </c>
      <c r="I423" s="37" t="s">
        <v>1932</v>
      </c>
      <c r="J423" s="38"/>
      <c r="K423" s="38"/>
      <c r="L423" s="39"/>
      <c r="M423" s="39"/>
      <c r="N423" s="39"/>
      <c r="O423" s="39">
        <f t="shared" si="65"/>
        <v>0</v>
      </c>
      <c r="P423" s="36" t="s">
        <v>1098</v>
      </c>
      <c r="Q423" s="36"/>
      <c r="R423" s="36" t="s">
        <v>1933</v>
      </c>
      <c r="S423" s="36" t="s">
        <v>1105</v>
      </c>
      <c r="T423" s="36" t="s">
        <v>1112</v>
      </c>
      <c r="U423" s="36" t="str">
        <f t="shared" si="67"/>
        <v>Not Included</v>
      </c>
      <c r="V423" s="79" t="s">
        <v>1934</v>
      </c>
      <c r="W423" s="38" t="s">
        <v>1612</v>
      </c>
      <c r="X423" s="40"/>
      <c r="Y423" s="40"/>
      <c r="Z423" s="40"/>
      <c r="AA423" s="40"/>
      <c r="AB423" s="40"/>
      <c r="AC423" s="40"/>
      <c r="AD423" s="40"/>
      <c r="AE423" s="40"/>
      <c r="AF423" s="40"/>
      <c r="AG423" s="40"/>
      <c r="AH423" s="40"/>
      <c r="AI423" s="45"/>
    </row>
    <row r="424" ht="69.75" customHeight="1">
      <c r="A424" s="35" t="s">
        <v>396</v>
      </c>
      <c r="B424" s="36" t="s">
        <v>1509</v>
      </c>
      <c r="C424" s="35" t="s">
        <v>1510</v>
      </c>
      <c r="D424" s="35" t="s">
        <v>1256</v>
      </c>
      <c r="E424" s="38" t="s">
        <v>1935</v>
      </c>
      <c r="F424" s="37"/>
      <c r="G424" s="38" t="s">
        <v>1089</v>
      </c>
      <c r="H424" s="37" t="s">
        <v>1097</v>
      </c>
      <c r="I424" s="37" t="s">
        <v>1868</v>
      </c>
      <c r="J424" s="38"/>
      <c r="K424" s="38"/>
      <c r="L424" s="39"/>
      <c r="M424" s="39"/>
      <c r="N424" s="39"/>
      <c r="O424" s="39">
        <f t="shared" si="65"/>
        <v>0</v>
      </c>
      <c r="P424" s="38" t="s">
        <v>1098</v>
      </c>
      <c r="Q424" s="38"/>
      <c r="R424" s="36" t="s">
        <v>1092</v>
      </c>
      <c r="S424" s="36" t="s">
        <v>1105</v>
      </c>
      <c r="T424" s="38" t="s">
        <v>1112</v>
      </c>
      <c r="U424" s="36" t="str">
        <f t="shared" si="67"/>
        <v>Not Included</v>
      </c>
      <c r="V424" s="89" t="s">
        <v>1936</v>
      </c>
      <c r="W424" s="38" t="s">
        <v>1612</v>
      </c>
      <c r="X424" s="40"/>
      <c r="Y424" s="40"/>
      <c r="Z424" s="40"/>
      <c r="AA424" s="40"/>
      <c r="AB424" s="40"/>
      <c r="AC424" s="40"/>
      <c r="AD424" s="40"/>
      <c r="AE424" s="40"/>
      <c r="AF424" s="40"/>
      <c r="AG424" s="40"/>
      <c r="AH424" s="40"/>
      <c r="AI424" s="45"/>
    </row>
    <row r="425" ht="85.5" customHeight="1">
      <c r="A425" s="36" t="s">
        <v>396</v>
      </c>
      <c r="B425" s="36" t="s">
        <v>1509</v>
      </c>
      <c r="C425" s="35" t="s">
        <v>1510</v>
      </c>
      <c r="D425" s="35" t="s">
        <v>1256</v>
      </c>
      <c r="E425" s="36" t="s">
        <v>415</v>
      </c>
      <c r="F425" s="36" t="s">
        <v>415</v>
      </c>
      <c r="G425" s="36" t="s">
        <v>1089</v>
      </c>
      <c r="H425" s="38" t="s">
        <v>1117</v>
      </c>
      <c r="I425" s="38" t="s">
        <v>1398</v>
      </c>
      <c r="J425" s="38" t="s">
        <v>1479</v>
      </c>
      <c r="K425" s="38"/>
      <c r="L425" s="42"/>
      <c r="M425" s="42"/>
      <c r="N425" s="42"/>
      <c r="O425" s="39">
        <f t="shared" si="65"/>
        <v>0</v>
      </c>
      <c r="P425" s="38" t="s">
        <v>1098</v>
      </c>
      <c r="Q425" s="38"/>
      <c r="R425" s="37" t="s">
        <v>1092</v>
      </c>
      <c r="S425" s="38" t="s">
        <v>1105</v>
      </c>
      <c r="T425" s="36" t="s">
        <v>1112</v>
      </c>
      <c r="U425" s="36" t="str">
        <f t="shared" si="67"/>
        <v>Not Included</v>
      </c>
      <c r="V425" s="38" t="s">
        <v>1937</v>
      </c>
      <c r="W425" s="38" t="s">
        <v>1612</v>
      </c>
    </row>
    <row r="426" ht="108.0" customHeight="1">
      <c r="A426" s="35" t="s">
        <v>396</v>
      </c>
      <c r="B426" s="36" t="s">
        <v>1509</v>
      </c>
      <c r="C426" s="35" t="s">
        <v>1510</v>
      </c>
      <c r="D426" s="35" t="s">
        <v>1256</v>
      </c>
      <c r="E426" s="38" t="s">
        <v>1938</v>
      </c>
      <c r="F426" s="90"/>
      <c r="G426" s="38" t="s">
        <v>1089</v>
      </c>
      <c r="H426" s="37" t="s">
        <v>1097</v>
      </c>
      <c r="I426" s="37" t="s">
        <v>1720</v>
      </c>
      <c r="J426" s="38"/>
      <c r="K426" s="38"/>
      <c r="L426" s="39"/>
      <c r="M426" s="39"/>
      <c r="N426" s="39"/>
      <c r="O426" s="39">
        <f t="shared" si="65"/>
        <v>0</v>
      </c>
      <c r="P426" s="38" t="s">
        <v>1098</v>
      </c>
      <c r="Q426" s="38"/>
      <c r="R426" s="36" t="s">
        <v>1092</v>
      </c>
      <c r="S426" s="36" t="s">
        <v>1105</v>
      </c>
      <c r="T426" s="38" t="s">
        <v>1112</v>
      </c>
      <c r="U426" s="36" t="str">
        <f t="shared" si="67"/>
        <v>Not Included</v>
      </c>
      <c r="V426" s="85" t="s">
        <v>1939</v>
      </c>
      <c r="W426" s="38" t="s">
        <v>1612</v>
      </c>
      <c r="X426" s="40"/>
      <c r="Y426" s="40"/>
      <c r="Z426" s="40"/>
      <c r="AA426" s="40"/>
      <c r="AB426" s="40"/>
      <c r="AC426" s="40"/>
      <c r="AD426" s="40"/>
      <c r="AE426" s="40"/>
      <c r="AF426" s="40"/>
      <c r="AG426" s="40"/>
      <c r="AH426" s="40"/>
      <c r="AI426" s="45"/>
    </row>
    <row r="427" ht="107.25" customHeight="1">
      <c r="A427" s="35" t="s">
        <v>396</v>
      </c>
      <c r="B427" s="36" t="s">
        <v>1509</v>
      </c>
      <c r="C427" s="35" t="s">
        <v>1510</v>
      </c>
      <c r="D427" s="35" t="s">
        <v>1256</v>
      </c>
      <c r="E427" s="38" t="s">
        <v>1940</v>
      </c>
      <c r="F427" s="37"/>
      <c r="G427" s="38" t="s">
        <v>1089</v>
      </c>
      <c r="H427" s="37" t="s">
        <v>1097</v>
      </c>
      <c r="I427" s="37" t="s">
        <v>1941</v>
      </c>
      <c r="J427" s="38"/>
      <c r="K427" s="38"/>
      <c r="L427" s="39"/>
      <c r="M427" s="39"/>
      <c r="N427" s="39"/>
      <c r="O427" s="39">
        <f t="shared" si="65"/>
        <v>0</v>
      </c>
      <c r="P427" s="38" t="s">
        <v>1098</v>
      </c>
      <c r="Q427" s="38"/>
      <c r="R427" s="36" t="s">
        <v>1861</v>
      </c>
      <c r="S427" s="36" t="s">
        <v>1105</v>
      </c>
      <c r="T427" s="38" t="s">
        <v>1112</v>
      </c>
      <c r="U427" s="36" t="str">
        <f t="shared" si="67"/>
        <v>Not Included</v>
      </c>
      <c r="V427" s="85" t="s">
        <v>1942</v>
      </c>
      <c r="W427" s="38" t="s">
        <v>1612</v>
      </c>
      <c r="X427" s="40"/>
      <c r="Y427" s="40"/>
      <c r="Z427" s="40"/>
      <c r="AA427" s="40"/>
      <c r="AB427" s="40"/>
      <c r="AC427" s="40"/>
      <c r="AD427" s="40"/>
      <c r="AE427" s="40"/>
      <c r="AF427" s="40"/>
      <c r="AG427" s="40"/>
      <c r="AH427" s="40"/>
      <c r="AI427" s="45"/>
    </row>
    <row r="428" ht="75.0" customHeight="1">
      <c r="A428" s="36" t="s">
        <v>396</v>
      </c>
      <c r="B428" s="36" t="s">
        <v>1509</v>
      </c>
      <c r="C428" s="35" t="s">
        <v>1510</v>
      </c>
      <c r="D428" s="35" t="s">
        <v>1256</v>
      </c>
      <c r="E428" s="36" t="s">
        <v>413</v>
      </c>
      <c r="F428" s="36" t="s">
        <v>413</v>
      </c>
      <c r="G428" s="36" t="s">
        <v>1089</v>
      </c>
      <c r="H428" s="38" t="s">
        <v>1117</v>
      </c>
      <c r="I428" s="38" t="s">
        <v>1118</v>
      </c>
      <c r="J428" s="38"/>
      <c r="K428" s="38"/>
      <c r="L428" s="42"/>
      <c r="M428" s="42"/>
      <c r="N428" s="42"/>
      <c r="O428" s="39">
        <f t="shared" si="65"/>
        <v>0</v>
      </c>
      <c r="P428" s="38" t="s">
        <v>1098</v>
      </c>
      <c r="Q428" s="38"/>
      <c r="R428" s="37" t="s">
        <v>1092</v>
      </c>
      <c r="S428" s="38" t="s">
        <v>1105</v>
      </c>
      <c r="T428" s="36" t="s">
        <v>1112</v>
      </c>
      <c r="U428" s="36" t="str">
        <f t="shared" si="67"/>
        <v>Not Included</v>
      </c>
      <c r="V428" s="38" t="s">
        <v>1943</v>
      </c>
      <c r="W428" s="38" t="s">
        <v>1612</v>
      </c>
    </row>
    <row r="429" ht="66.0" customHeight="1">
      <c r="A429" s="35" t="s">
        <v>396</v>
      </c>
      <c r="B429" s="36" t="s">
        <v>1509</v>
      </c>
      <c r="C429" s="35" t="s">
        <v>1510</v>
      </c>
      <c r="D429" s="35" t="s">
        <v>1256</v>
      </c>
      <c r="E429" s="38" t="s">
        <v>1944</v>
      </c>
      <c r="F429" s="37"/>
      <c r="G429" s="38" t="s">
        <v>1089</v>
      </c>
      <c r="H429" s="38" t="s">
        <v>1347</v>
      </c>
      <c r="I429" s="38" t="s">
        <v>1848</v>
      </c>
      <c r="J429" s="38"/>
      <c r="K429" s="38"/>
      <c r="L429" s="39"/>
      <c r="M429" s="39"/>
      <c r="N429" s="39"/>
      <c r="O429" s="39">
        <f t="shared" si="65"/>
        <v>0</v>
      </c>
      <c r="P429" s="36" t="s">
        <v>1098</v>
      </c>
      <c r="Q429" s="36"/>
      <c r="R429" s="38" t="s">
        <v>1092</v>
      </c>
      <c r="S429" s="36" t="s">
        <v>1105</v>
      </c>
      <c r="T429" s="38" t="s">
        <v>1112</v>
      </c>
      <c r="U429" s="36" t="str">
        <f t="shared" si="67"/>
        <v>Not Included</v>
      </c>
      <c r="V429" s="36" t="s">
        <v>1945</v>
      </c>
      <c r="W429" s="38" t="s">
        <v>1612</v>
      </c>
      <c r="X429" s="40"/>
      <c r="Y429" s="40"/>
      <c r="Z429" s="40"/>
      <c r="AA429" s="40"/>
      <c r="AB429" s="40"/>
      <c r="AC429" s="40"/>
      <c r="AD429" s="40"/>
      <c r="AE429" s="40"/>
      <c r="AF429" s="40"/>
      <c r="AG429" s="40"/>
      <c r="AH429" s="40"/>
      <c r="AI429" s="45"/>
    </row>
    <row r="430" ht="49.5" customHeight="1">
      <c r="A430" s="36" t="s">
        <v>396</v>
      </c>
      <c r="B430" s="36" t="s">
        <v>1509</v>
      </c>
      <c r="C430" s="35" t="s">
        <v>1510</v>
      </c>
      <c r="D430" s="35" t="s">
        <v>1256</v>
      </c>
      <c r="E430" s="36" t="s">
        <v>472</v>
      </c>
      <c r="F430" s="36" t="s">
        <v>472</v>
      </c>
      <c r="G430" s="36" t="s">
        <v>1089</v>
      </c>
      <c r="H430" s="38" t="s">
        <v>162</v>
      </c>
      <c r="I430" s="38" t="s">
        <v>1789</v>
      </c>
      <c r="J430" s="38"/>
      <c r="K430" s="42"/>
      <c r="L430" s="42"/>
      <c r="M430" s="42"/>
      <c r="N430" s="42"/>
      <c r="O430" s="39">
        <f t="shared" si="65"/>
        <v>0</v>
      </c>
      <c r="P430" s="36" t="s">
        <v>1098</v>
      </c>
      <c r="Q430" s="36"/>
      <c r="R430" s="37" t="s">
        <v>1092</v>
      </c>
      <c r="S430" s="38" t="s">
        <v>1100</v>
      </c>
      <c r="T430" s="38" t="s">
        <v>1112</v>
      </c>
      <c r="U430" s="36" t="str">
        <f t="shared" si="67"/>
        <v>Not Included</v>
      </c>
      <c r="V430" s="38" t="s">
        <v>1946</v>
      </c>
      <c r="W430" s="38" t="s">
        <v>1612</v>
      </c>
    </row>
    <row r="431" ht="81.0" customHeight="1">
      <c r="A431" s="36" t="s">
        <v>396</v>
      </c>
      <c r="B431" s="36" t="s">
        <v>1509</v>
      </c>
      <c r="C431" s="35" t="s">
        <v>1510</v>
      </c>
      <c r="D431" s="35" t="s">
        <v>1256</v>
      </c>
      <c r="E431" s="36" t="s">
        <v>467</v>
      </c>
      <c r="F431" s="36" t="s">
        <v>467</v>
      </c>
      <c r="G431" s="36" t="s">
        <v>1089</v>
      </c>
      <c r="H431" s="38" t="s">
        <v>162</v>
      </c>
      <c r="I431" s="38" t="s">
        <v>1848</v>
      </c>
      <c r="J431" s="38"/>
      <c r="K431" s="42"/>
      <c r="L431" s="42"/>
      <c r="M431" s="42"/>
      <c r="N431" s="42"/>
      <c r="O431" s="39">
        <f t="shared" si="65"/>
        <v>0</v>
      </c>
      <c r="P431" s="36" t="s">
        <v>1098</v>
      </c>
      <c r="Q431" s="36"/>
      <c r="R431" s="37" t="s">
        <v>1092</v>
      </c>
      <c r="S431" s="38" t="s">
        <v>1100</v>
      </c>
      <c r="T431" s="38" t="s">
        <v>1112</v>
      </c>
      <c r="U431" s="36" t="str">
        <f t="shared" si="67"/>
        <v>Not Included</v>
      </c>
      <c r="V431" s="38" t="s">
        <v>1947</v>
      </c>
      <c r="W431" s="38" t="s">
        <v>1612</v>
      </c>
    </row>
    <row r="432" ht="81.0" customHeight="1">
      <c r="A432" s="36" t="s">
        <v>396</v>
      </c>
      <c r="B432" s="36" t="s">
        <v>1509</v>
      </c>
      <c r="C432" s="35" t="s">
        <v>1510</v>
      </c>
      <c r="D432" s="35" t="s">
        <v>1256</v>
      </c>
      <c r="E432" s="36" t="s">
        <v>591</v>
      </c>
      <c r="F432" s="36" t="s">
        <v>592</v>
      </c>
      <c r="G432" s="35" t="s">
        <v>1116</v>
      </c>
      <c r="H432" s="38" t="s">
        <v>162</v>
      </c>
      <c r="I432" s="38" t="s">
        <v>1822</v>
      </c>
      <c r="J432" s="38"/>
      <c r="K432" s="38"/>
      <c r="L432" s="38"/>
      <c r="M432" s="38"/>
      <c r="N432" s="38"/>
      <c r="O432" s="38"/>
      <c r="P432" s="38" t="s">
        <v>1098</v>
      </c>
      <c r="Q432" s="38"/>
      <c r="R432" s="37"/>
      <c r="S432" s="38" t="s">
        <v>1105</v>
      </c>
      <c r="T432" s="38" t="s">
        <v>1112</v>
      </c>
      <c r="U432" s="38"/>
      <c r="V432" s="37"/>
      <c r="W432" s="37"/>
      <c r="AI432" s="50"/>
    </row>
    <row r="433" ht="15.75" customHeight="1">
      <c r="A433" s="36" t="s">
        <v>396</v>
      </c>
      <c r="B433" s="36" t="s">
        <v>1509</v>
      </c>
      <c r="C433" s="35" t="s">
        <v>1510</v>
      </c>
      <c r="D433" s="35" t="s">
        <v>1256</v>
      </c>
      <c r="E433" s="36" t="s">
        <v>771</v>
      </c>
      <c r="F433" s="36" t="s">
        <v>772</v>
      </c>
      <c r="G433" s="35" t="s">
        <v>1116</v>
      </c>
      <c r="H433" s="38" t="s">
        <v>162</v>
      </c>
      <c r="I433" s="38" t="s">
        <v>1432</v>
      </c>
      <c r="J433" s="38"/>
      <c r="K433" s="38"/>
      <c r="L433" s="38"/>
      <c r="M433" s="38"/>
      <c r="N433" s="38"/>
      <c r="O433" s="38"/>
      <c r="P433" s="38" t="s">
        <v>1098</v>
      </c>
      <c r="Q433" s="38"/>
      <c r="R433" s="37"/>
      <c r="S433" s="38" t="s">
        <v>1105</v>
      </c>
      <c r="T433" s="38" t="s">
        <v>1112</v>
      </c>
      <c r="U433" s="38"/>
      <c r="V433" s="37"/>
      <c r="W433" s="37"/>
    </row>
    <row r="434" ht="15.75" customHeight="1">
      <c r="A434" s="36" t="s">
        <v>396</v>
      </c>
      <c r="B434" s="36" t="s">
        <v>1509</v>
      </c>
      <c r="C434" s="35" t="s">
        <v>1510</v>
      </c>
      <c r="D434" s="35" t="s">
        <v>1256</v>
      </c>
      <c r="E434" s="36" t="s">
        <v>855</v>
      </c>
      <c r="F434" s="36" t="s">
        <v>856</v>
      </c>
      <c r="G434" s="35" t="s">
        <v>1116</v>
      </c>
      <c r="H434" s="38" t="s">
        <v>162</v>
      </c>
      <c r="I434" s="38" t="s">
        <v>1850</v>
      </c>
      <c r="J434" s="38" t="s">
        <v>1851</v>
      </c>
      <c r="L434" s="38"/>
      <c r="M434" s="38"/>
      <c r="N434" s="38"/>
      <c r="O434" s="38"/>
      <c r="P434" s="38" t="s">
        <v>1098</v>
      </c>
      <c r="Q434" s="38"/>
      <c r="R434" s="37"/>
      <c r="S434" s="38" t="s">
        <v>1100</v>
      </c>
      <c r="T434" s="38" t="s">
        <v>1112</v>
      </c>
      <c r="U434" s="38"/>
      <c r="V434" s="37"/>
      <c r="W434" s="37"/>
    </row>
    <row r="435" ht="15.75" customHeight="1">
      <c r="A435" s="36" t="s">
        <v>396</v>
      </c>
      <c r="B435" s="36" t="s">
        <v>1509</v>
      </c>
      <c r="C435" s="35" t="s">
        <v>1510</v>
      </c>
      <c r="D435" s="35" t="s">
        <v>1256</v>
      </c>
      <c r="E435" s="36" t="s">
        <v>777</v>
      </c>
      <c r="F435" s="36" t="s">
        <v>778</v>
      </c>
      <c r="G435" s="35" t="s">
        <v>1116</v>
      </c>
      <c r="H435" s="38" t="s">
        <v>162</v>
      </c>
      <c r="I435" s="38" t="s">
        <v>1948</v>
      </c>
      <c r="J435" s="38"/>
      <c r="K435" s="38"/>
      <c r="L435" s="38"/>
      <c r="M435" s="38"/>
      <c r="N435" s="38"/>
      <c r="O435" s="38"/>
      <c r="P435" s="38" t="s">
        <v>1098</v>
      </c>
      <c r="Q435" s="38"/>
      <c r="R435" s="37"/>
      <c r="S435" s="38" t="s">
        <v>1100</v>
      </c>
      <c r="T435" s="38" t="s">
        <v>1112</v>
      </c>
      <c r="U435" s="38"/>
      <c r="V435" s="38" t="s">
        <v>1949</v>
      </c>
      <c r="W435" s="38" t="s">
        <v>1845</v>
      </c>
    </row>
    <row r="436" ht="66.0" customHeight="1">
      <c r="A436" s="36" t="s">
        <v>396</v>
      </c>
      <c r="B436" s="36" t="s">
        <v>1509</v>
      </c>
      <c r="C436" s="35" t="s">
        <v>1510</v>
      </c>
      <c r="D436" s="35" t="s">
        <v>1256</v>
      </c>
      <c r="E436" s="54" t="s">
        <v>741</v>
      </c>
      <c r="F436" s="54" t="s">
        <v>741</v>
      </c>
      <c r="G436" s="35" t="s">
        <v>1116</v>
      </c>
      <c r="H436" s="38" t="s">
        <v>162</v>
      </c>
      <c r="I436" s="38" t="s">
        <v>1851</v>
      </c>
      <c r="J436" s="38" t="s">
        <v>1851</v>
      </c>
      <c r="L436" s="38"/>
      <c r="M436" s="38"/>
      <c r="N436" s="38"/>
      <c r="O436" s="38"/>
      <c r="P436" s="38" t="s">
        <v>1098</v>
      </c>
      <c r="Q436" s="38"/>
      <c r="R436" s="37"/>
      <c r="S436" s="38" t="s">
        <v>1100</v>
      </c>
      <c r="T436" s="38" t="s">
        <v>1112</v>
      </c>
      <c r="U436" s="38"/>
      <c r="V436" s="37"/>
      <c r="W436" s="37"/>
    </row>
    <row r="437" ht="69.75" customHeight="1">
      <c r="A437" s="36" t="s">
        <v>396</v>
      </c>
      <c r="B437" s="36" t="s">
        <v>1509</v>
      </c>
      <c r="C437" s="35" t="s">
        <v>1510</v>
      </c>
      <c r="D437" s="35" t="s">
        <v>1256</v>
      </c>
      <c r="E437" s="36" t="s">
        <v>783</v>
      </c>
      <c r="F437" s="36" t="s">
        <v>784</v>
      </c>
      <c r="G437" s="35" t="s">
        <v>1116</v>
      </c>
      <c r="H437" s="38" t="s">
        <v>162</v>
      </c>
      <c r="I437" s="38" t="s">
        <v>1122</v>
      </c>
      <c r="J437" s="38"/>
      <c r="K437" s="38"/>
      <c r="L437" s="38"/>
      <c r="M437" s="38"/>
      <c r="N437" s="38"/>
      <c r="O437" s="38"/>
      <c r="P437" s="38" t="s">
        <v>1098</v>
      </c>
      <c r="Q437" s="38"/>
      <c r="R437" s="37"/>
      <c r="S437" s="38" t="s">
        <v>1105</v>
      </c>
      <c r="T437" s="38" t="s">
        <v>1112</v>
      </c>
      <c r="U437" s="38"/>
      <c r="V437" s="37"/>
      <c r="W437" s="37"/>
    </row>
    <row r="438" ht="85.5" customHeight="1">
      <c r="A438" s="35" t="s">
        <v>396</v>
      </c>
      <c r="B438" s="36" t="s">
        <v>1509</v>
      </c>
      <c r="C438" s="35" t="s">
        <v>1510</v>
      </c>
      <c r="D438" s="35" t="s">
        <v>1256</v>
      </c>
      <c r="E438" s="36" t="s">
        <v>1950</v>
      </c>
      <c r="F438" s="36"/>
      <c r="G438" s="36" t="s">
        <v>1089</v>
      </c>
      <c r="H438" s="38" t="s">
        <v>1529</v>
      </c>
      <c r="I438" s="38"/>
      <c r="J438" s="38"/>
      <c r="K438" s="38"/>
      <c r="L438" s="39">
        <v>1000000.0</v>
      </c>
      <c r="M438" s="39">
        <f>289390.14-
191364.29
</f>
        <v>98025.85</v>
      </c>
      <c r="N438" s="39">
        <v>191364.29</v>
      </c>
      <c r="O438" s="39">
        <f t="shared" ref="O438:O440" si="70">M438+N438</f>
        <v>289390.14</v>
      </c>
      <c r="P438" s="36">
        <f t="shared" ref="P438:P440" si="71">IF(AND((M438+N438)&gt;0,L438=0),"No Funding Goal",IF(AND((M438+N438)=0,L438=0),0,(M438+N438)/L438))</f>
        <v>0.28939014</v>
      </c>
      <c r="Q438" s="36"/>
      <c r="R438" s="36" t="s">
        <v>1092</v>
      </c>
      <c r="S438" s="38" t="s">
        <v>1100</v>
      </c>
      <c r="T438" s="38" t="s">
        <v>1286</v>
      </c>
      <c r="U438" s="36" t="str">
        <f t="shared" ref="U438:U440" si="72">IFS(
    P438="No Funding Goal","Not Included",
    P438="Not Applicable","Not Included",
    P438&gt;=0.75,"1. Easy",
    AND(P438&lt;0.75,P438&gt;=0.5),"2. Moderate",
    P438&lt;0.5,"3. Difficult"
)</f>
        <v>3. Difficult</v>
      </c>
      <c r="V438" s="36"/>
      <c r="W438" s="36" t="s">
        <v>1612</v>
      </c>
      <c r="X438" s="68"/>
      <c r="Y438" s="68"/>
      <c r="Z438" s="68"/>
      <c r="AA438" s="68"/>
      <c r="AB438" s="68"/>
      <c r="AC438" s="68"/>
      <c r="AD438" s="68"/>
      <c r="AE438" s="68"/>
      <c r="AF438" s="68"/>
      <c r="AG438" s="68"/>
      <c r="AH438" s="68"/>
    </row>
    <row r="439" ht="115.5" customHeight="1">
      <c r="A439" s="36" t="s">
        <v>396</v>
      </c>
      <c r="B439" s="36" t="s">
        <v>1509</v>
      </c>
      <c r="C439" s="35" t="s">
        <v>1510</v>
      </c>
      <c r="D439" s="35" t="s">
        <v>1256</v>
      </c>
      <c r="E439" s="36" t="s">
        <v>461</v>
      </c>
      <c r="F439" s="36" t="s">
        <v>462</v>
      </c>
      <c r="G439" s="36" t="s">
        <v>1089</v>
      </c>
      <c r="H439" s="38" t="s">
        <v>153</v>
      </c>
      <c r="I439" s="38" t="s">
        <v>1779</v>
      </c>
      <c r="J439" s="38" t="s">
        <v>1951</v>
      </c>
      <c r="K439" s="42">
        <v>5000000.0</v>
      </c>
      <c r="L439" s="42">
        <v>5000000.0</v>
      </c>
      <c r="M439" s="42">
        <f>4951573.97-4873922.93</f>
        <v>77651.04</v>
      </c>
      <c r="N439" s="42">
        <v>4873922.93</v>
      </c>
      <c r="O439" s="39">
        <f t="shared" si="70"/>
        <v>4951573.97</v>
      </c>
      <c r="P439" s="36">
        <f t="shared" si="71"/>
        <v>0.990314794</v>
      </c>
      <c r="Q439" s="36"/>
      <c r="R439" s="37" t="s">
        <v>1780</v>
      </c>
      <c r="S439" s="38" t="s">
        <v>1093</v>
      </c>
      <c r="T439" s="38" t="s">
        <v>1094</v>
      </c>
      <c r="U439" s="36" t="str">
        <f t="shared" si="72"/>
        <v>1. Easy</v>
      </c>
      <c r="V439" s="38"/>
      <c r="W439" s="38" t="s">
        <v>1612</v>
      </c>
      <c r="X439" s="50"/>
      <c r="Y439" s="50"/>
      <c r="Z439" s="50"/>
      <c r="AA439" s="50"/>
      <c r="AB439" s="50"/>
      <c r="AC439" s="50"/>
      <c r="AD439" s="50"/>
      <c r="AE439" s="50"/>
      <c r="AF439" s="50"/>
      <c r="AG439" s="50"/>
      <c r="AH439" s="50"/>
    </row>
    <row r="440" ht="84.0" customHeight="1">
      <c r="A440" s="36" t="s">
        <v>396</v>
      </c>
      <c r="B440" s="36" t="s">
        <v>1509</v>
      </c>
      <c r="C440" s="35" t="s">
        <v>1510</v>
      </c>
      <c r="D440" s="35" t="s">
        <v>1256</v>
      </c>
      <c r="E440" s="36" t="s">
        <v>274</v>
      </c>
      <c r="F440" s="36" t="s">
        <v>275</v>
      </c>
      <c r="G440" s="36" t="s">
        <v>1089</v>
      </c>
      <c r="H440" s="38" t="s">
        <v>153</v>
      </c>
      <c r="I440" s="38" t="s">
        <v>1241</v>
      </c>
      <c r="J440" s="42" t="s">
        <v>1952</v>
      </c>
      <c r="K440" s="42" t="s">
        <v>1953</v>
      </c>
      <c r="L440" s="42">
        <v>849091.0</v>
      </c>
      <c r="M440" s="42">
        <v>0.0</v>
      </c>
      <c r="N440" s="42">
        <v>0.0</v>
      </c>
      <c r="O440" s="39">
        <f t="shared" si="70"/>
        <v>0</v>
      </c>
      <c r="P440" s="36">
        <f t="shared" si="71"/>
        <v>0</v>
      </c>
      <c r="Q440" s="36"/>
      <c r="R440" s="36" t="s">
        <v>1243</v>
      </c>
      <c r="S440" s="38" t="s">
        <v>1093</v>
      </c>
      <c r="T440" s="38" t="s">
        <v>1094</v>
      </c>
      <c r="U440" s="36" t="str">
        <f t="shared" si="72"/>
        <v>3. Difficult</v>
      </c>
      <c r="V440" s="38" t="s">
        <v>1954</v>
      </c>
      <c r="W440" s="38" t="s">
        <v>1612</v>
      </c>
      <c r="X440" s="50"/>
      <c r="Y440" s="50"/>
      <c r="Z440" s="50"/>
      <c r="AA440" s="50"/>
      <c r="AB440" s="50"/>
      <c r="AC440" s="50"/>
      <c r="AD440" s="50"/>
      <c r="AE440" s="50"/>
      <c r="AF440" s="50"/>
      <c r="AG440" s="50"/>
      <c r="AH440" s="50"/>
    </row>
    <row r="441" ht="65.25" customHeight="1">
      <c r="A441" s="35" t="s">
        <v>396</v>
      </c>
      <c r="B441" s="36" t="s">
        <v>1509</v>
      </c>
      <c r="C441" s="35" t="s">
        <v>1510</v>
      </c>
      <c r="D441" s="35" t="s">
        <v>1256</v>
      </c>
      <c r="E441" s="38" t="s">
        <v>1955</v>
      </c>
      <c r="F441" s="37"/>
      <c r="G441" s="37" t="s">
        <v>1139</v>
      </c>
      <c r="H441" s="37" t="s">
        <v>1139</v>
      </c>
      <c r="I441" s="37" t="s">
        <v>1956</v>
      </c>
      <c r="J441" s="38"/>
      <c r="K441" s="38"/>
      <c r="L441" s="39"/>
      <c r="M441" s="39"/>
      <c r="N441" s="39"/>
      <c r="O441" s="39"/>
      <c r="P441" s="38" t="s">
        <v>1098</v>
      </c>
      <c r="Q441" s="39"/>
      <c r="R441" s="36"/>
      <c r="S441" s="36" t="s">
        <v>1105</v>
      </c>
      <c r="T441" s="36" t="s">
        <v>1106</v>
      </c>
      <c r="U441" s="38"/>
      <c r="V441" s="85" t="s">
        <v>1957</v>
      </c>
      <c r="W441" s="38" t="s">
        <v>1612</v>
      </c>
      <c r="X441" s="40"/>
      <c r="Y441" s="40"/>
      <c r="Z441" s="40"/>
      <c r="AA441" s="40"/>
      <c r="AB441" s="40"/>
      <c r="AC441" s="40"/>
      <c r="AD441" s="40"/>
      <c r="AE441" s="40"/>
      <c r="AF441" s="40"/>
      <c r="AG441" s="40"/>
      <c r="AH441" s="40"/>
      <c r="AI441" s="45"/>
    </row>
    <row r="442" ht="78.0" customHeight="1">
      <c r="A442" s="35" t="s">
        <v>396</v>
      </c>
      <c r="B442" s="36" t="s">
        <v>1509</v>
      </c>
      <c r="C442" s="35" t="s">
        <v>1510</v>
      </c>
      <c r="D442" s="35" t="s">
        <v>1256</v>
      </c>
      <c r="E442" s="41" t="s">
        <v>1958</v>
      </c>
      <c r="F442" s="37"/>
      <c r="G442" s="37" t="s">
        <v>1139</v>
      </c>
      <c r="H442" s="37" t="s">
        <v>1139</v>
      </c>
      <c r="I442" s="37" t="s">
        <v>1959</v>
      </c>
      <c r="J442" s="38"/>
      <c r="K442" s="38"/>
      <c r="L442" s="39"/>
      <c r="M442" s="39"/>
      <c r="N442" s="39"/>
      <c r="O442" s="39"/>
      <c r="P442" s="38" t="s">
        <v>1098</v>
      </c>
      <c r="Q442" s="39"/>
      <c r="R442" s="36"/>
      <c r="S442" s="36" t="s">
        <v>1105</v>
      </c>
      <c r="T442" s="36" t="s">
        <v>1106</v>
      </c>
      <c r="U442" s="38"/>
      <c r="V442" s="85" t="s">
        <v>1960</v>
      </c>
      <c r="W442" s="38" t="s">
        <v>1612</v>
      </c>
      <c r="X442" s="40"/>
      <c r="Y442" s="40"/>
      <c r="Z442" s="40"/>
      <c r="AA442" s="40"/>
      <c r="AB442" s="40"/>
      <c r="AC442" s="40"/>
      <c r="AD442" s="40"/>
      <c r="AE442" s="40"/>
      <c r="AF442" s="40"/>
      <c r="AG442" s="40"/>
      <c r="AH442" s="40"/>
      <c r="AI442" s="45"/>
    </row>
    <row r="443" ht="78.0" customHeight="1">
      <c r="A443" s="36" t="s">
        <v>538</v>
      </c>
      <c r="B443" s="36" t="s">
        <v>1086</v>
      </c>
      <c r="C443" s="35" t="s">
        <v>1087</v>
      </c>
      <c r="D443" s="35" t="s">
        <v>1088</v>
      </c>
      <c r="E443" s="36" t="s">
        <v>556</v>
      </c>
      <c r="F443" s="36" t="s">
        <v>556</v>
      </c>
      <c r="G443" s="36" t="s">
        <v>1089</v>
      </c>
      <c r="H443" s="38" t="s">
        <v>1257</v>
      </c>
      <c r="I443" s="38" t="s">
        <v>1258</v>
      </c>
      <c r="J443" s="38" t="s">
        <v>1961</v>
      </c>
      <c r="K443" s="38"/>
      <c r="L443" s="42">
        <v>0.0</v>
      </c>
      <c r="M443" s="42"/>
      <c r="N443" s="42">
        <v>4648874.47</v>
      </c>
      <c r="O443" s="39">
        <f t="shared" ref="O443:O447" si="73">M443+N443</f>
        <v>4648874.47</v>
      </c>
      <c r="P443" s="36" t="str">
        <f>IF(AND((M443+N443)&gt;0,L443=0),"1",IF(AND((M443+N443)=0,L443=0),0,(M443+N443)/L443))</f>
        <v>1</v>
      </c>
      <c r="Q443" s="36"/>
      <c r="R443" s="38" t="s">
        <v>1092</v>
      </c>
      <c r="S443" s="38" t="s">
        <v>1105</v>
      </c>
      <c r="T443" s="36" t="s">
        <v>1112</v>
      </c>
      <c r="U443" s="36" t="str">
        <f t="shared" ref="U443:U447" si="74">IFS(
    P443="No Funding Goal","Not Included",
    P443="Not Applicable","Not Included",
    P443&gt;=0.75,"1. Easy",
    AND(P443&lt;0.75,P443&gt;=0.5),"2. Moderate",
    P443&lt;0.5,"3. Difficult"
)</f>
        <v>1. Easy</v>
      </c>
      <c r="V443" s="38" t="s">
        <v>1962</v>
      </c>
      <c r="W443" s="38" t="s">
        <v>1108</v>
      </c>
    </row>
    <row r="444" ht="78.0" customHeight="1">
      <c r="A444" s="36" t="s">
        <v>396</v>
      </c>
      <c r="B444" s="36" t="s">
        <v>1509</v>
      </c>
      <c r="C444" s="35" t="s">
        <v>1510</v>
      </c>
      <c r="D444" s="35" t="s">
        <v>1256</v>
      </c>
      <c r="E444" s="36" t="s">
        <v>251</v>
      </c>
      <c r="F444" s="36" t="s">
        <v>437</v>
      </c>
      <c r="G444" s="36" t="s">
        <v>1089</v>
      </c>
      <c r="H444" s="38" t="s">
        <v>56</v>
      </c>
      <c r="I444" s="38" t="s">
        <v>1781</v>
      </c>
      <c r="J444" s="38"/>
      <c r="K444" s="42">
        <v>400000.0</v>
      </c>
      <c r="L444" s="42">
        <v>400000.0</v>
      </c>
      <c r="M444" s="42">
        <v>75269.0</v>
      </c>
      <c r="N444" s="42">
        <v>0.0</v>
      </c>
      <c r="O444" s="39">
        <f t="shared" si="73"/>
        <v>75269</v>
      </c>
      <c r="P444" s="36">
        <f t="shared" ref="P444:P446" si="75">IF(AND((M444+N444)&gt;0,L444=0),"No Funding Goal",IF(AND((M444+N444)=0,L444=0),0,(M444+N444)/L444))</f>
        <v>0.1881725</v>
      </c>
      <c r="Q444" s="36"/>
      <c r="R444" s="38" t="s">
        <v>1092</v>
      </c>
      <c r="S444" s="38" t="s">
        <v>1093</v>
      </c>
      <c r="T444" s="38" t="s">
        <v>1286</v>
      </c>
      <c r="U444" s="36" t="str">
        <f t="shared" si="74"/>
        <v>3. Difficult</v>
      </c>
      <c r="V444" s="38" t="s">
        <v>1963</v>
      </c>
      <c r="W444" s="38" t="s">
        <v>1612</v>
      </c>
    </row>
    <row r="445" ht="88.5" customHeight="1">
      <c r="A445" s="36" t="s">
        <v>396</v>
      </c>
      <c r="B445" s="36" t="s">
        <v>1509</v>
      </c>
      <c r="C445" s="35" t="s">
        <v>1510</v>
      </c>
      <c r="D445" s="35" t="s">
        <v>1256</v>
      </c>
      <c r="E445" s="36" t="s">
        <v>247</v>
      </c>
      <c r="F445" s="36" t="s">
        <v>436</v>
      </c>
      <c r="G445" s="36" t="s">
        <v>1089</v>
      </c>
      <c r="H445" s="38" t="s">
        <v>52</v>
      </c>
      <c r="I445" s="38" t="s">
        <v>1781</v>
      </c>
      <c r="J445" s="38"/>
      <c r="K445" s="57">
        <v>6000000.0</v>
      </c>
      <c r="L445" s="42">
        <v>6000000.0</v>
      </c>
      <c r="M445" s="42">
        <f>2110000-N445</f>
        <v>989339.12</v>
      </c>
      <c r="N445" s="42">
        <v>1120660.88</v>
      </c>
      <c r="O445" s="39">
        <f t="shared" si="73"/>
        <v>2110000</v>
      </c>
      <c r="P445" s="36">
        <f t="shared" si="75"/>
        <v>0.3516666667</v>
      </c>
      <c r="Q445" s="36"/>
      <c r="R445" s="38" t="s">
        <v>1092</v>
      </c>
      <c r="S445" s="38" t="s">
        <v>1093</v>
      </c>
      <c r="T445" s="38" t="s">
        <v>1286</v>
      </c>
      <c r="U445" s="36" t="str">
        <f t="shared" si="74"/>
        <v>3. Difficult</v>
      </c>
      <c r="V445" s="36"/>
      <c r="W445" s="36" t="s">
        <v>1531</v>
      </c>
      <c r="X445" s="68"/>
      <c r="Y445" s="68"/>
      <c r="Z445" s="68"/>
      <c r="AA445" s="68"/>
    </row>
    <row r="446" ht="88.5" customHeight="1">
      <c r="A446" s="36" t="s">
        <v>396</v>
      </c>
      <c r="B446" s="36" t="s">
        <v>1509</v>
      </c>
      <c r="C446" s="35" t="s">
        <v>1510</v>
      </c>
      <c r="D446" s="35" t="s">
        <v>1256</v>
      </c>
      <c r="E446" s="36" t="s">
        <v>430</v>
      </c>
      <c r="F446" s="36" t="s">
        <v>431</v>
      </c>
      <c r="G446" s="36" t="s">
        <v>1089</v>
      </c>
      <c r="H446" s="38" t="s">
        <v>1430</v>
      </c>
      <c r="I446" s="38"/>
      <c r="J446" s="38"/>
      <c r="K446" s="38"/>
      <c r="L446" s="42">
        <v>4000000.0</v>
      </c>
      <c r="M446" s="42">
        <f>2556833-N446</f>
        <v>457564.68</v>
      </c>
      <c r="N446" s="42">
        <v>2099268.32</v>
      </c>
      <c r="O446" s="39">
        <f t="shared" si="73"/>
        <v>2556833</v>
      </c>
      <c r="P446" s="36">
        <f t="shared" si="75"/>
        <v>0.63920825</v>
      </c>
      <c r="Q446" s="36"/>
      <c r="R446" s="37" t="s">
        <v>1415</v>
      </c>
      <c r="S446" s="38" t="s">
        <v>1093</v>
      </c>
      <c r="T446" s="38" t="s">
        <v>1112</v>
      </c>
      <c r="U446" s="36" t="str">
        <f t="shared" si="74"/>
        <v>2. Moderate</v>
      </c>
      <c r="V446" s="38" t="s">
        <v>1964</v>
      </c>
      <c r="W446" s="38"/>
    </row>
    <row r="447" ht="90.75" customHeight="1">
      <c r="A447" s="36" t="s">
        <v>396</v>
      </c>
      <c r="B447" s="36" t="s">
        <v>1509</v>
      </c>
      <c r="C447" s="35" t="s">
        <v>1510</v>
      </c>
      <c r="D447" s="35" t="s">
        <v>1256</v>
      </c>
      <c r="E447" s="36" t="s">
        <v>451</v>
      </c>
      <c r="F447" s="36" t="s">
        <v>452</v>
      </c>
      <c r="G447" s="37" t="s">
        <v>1089</v>
      </c>
      <c r="H447" s="38" t="s">
        <v>1309</v>
      </c>
      <c r="I447" s="38" t="s">
        <v>1873</v>
      </c>
      <c r="J447" s="38"/>
      <c r="K447" s="91">
        <v>150000.0</v>
      </c>
      <c r="L447" s="42">
        <v>150000.0</v>
      </c>
      <c r="M447" s="42">
        <v>0.0</v>
      </c>
      <c r="N447" s="42">
        <v>0.0</v>
      </c>
      <c r="O447" s="39">
        <f t="shared" si="73"/>
        <v>0</v>
      </c>
      <c r="P447" s="36">
        <f>IF(AND(N447&gt;0,L447=0),"No Funding Goal",IF(AND(N447=0,L447=0),0,N447/L447))</f>
        <v>0</v>
      </c>
      <c r="Q447" s="36"/>
      <c r="R447" s="37" t="s">
        <v>1311</v>
      </c>
      <c r="S447" s="38" t="s">
        <v>1093</v>
      </c>
      <c r="T447" s="36" t="s">
        <v>1094</v>
      </c>
      <c r="U447" s="36" t="str">
        <f t="shared" si="74"/>
        <v>3. Difficult</v>
      </c>
      <c r="V447" s="38" t="s">
        <v>1965</v>
      </c>
      <c r="W447" s="38" t="s">
        <v>1612</v>
      </c>
      <c r="X447" s="50"/>
      <c r="Y447" s="50"/>
      <c r="Z447" s="50"/>
      <c r="AA447" s="50"/>
      <c r="AB447" s="50"/>
      <c r="AC447" s="50"/>
      <c r="AD447" s="50"/>
      <c r="AE447" s="50"/>
      <c r="AF447" s="50"/>
      <c r="AG447" s="50"/>
      <c r="AH447" s="50"/>
    </row>
    <row r="448" ht="90.75" customHeight="1">
      <c r="A448" s="35" t="s">
        <v>396</v>
      </c>
      <c r="B448" s="36" t="s">
        <v>1509</v>
      </c>
      <c r="C448" s="35" t="s">
        <v>1510</v>
      </c>
      <c r="D448" s="35" t="s">
        <v>1256</v>
      </c>
      <c r="E448" s="38" t="s">
        <v>1966</v>
      </c>
      <c r="F448" s="37"/>
      <c r="G448" s="37" t="s">
        <v>1139</v>
      </c>
      <c r="H448" s="37" t="s">
        <v>1139</v>
      </c>
      <c r="I448" s="37" t="s">
        <v>1967</v>
      </c>
      <c r="J448" s="38"/>
      <c r="K448" s="38"/>
      <c r="L448" s="39"/>
      <c r="M448" s="39"/>
      <c r="N448" s="39"/>
      <c r="O448" s="39"/>
      <c r="P448" s="38" t="s">
        <v>1098</v>
      </c>
      <c r="Q448" s="39"/>
      <c r="R448" s="36"/>
      <c r="S448" s="36" t="s">
        <v>1105</v>
      </c>
      <c r="T448" s="36" t="s">
        <v>1968</v>
      </c>
      <c r="U448" s="38"/>
      <c r="V448" s="85" t="s">
        <v>1969</v>
      </c>
      <c r="W448" s="38" t="s">
        <v>1612</v>
      </c>
      <c r="X448" s="40"/>
      <c r="Y448" s="40"/>
      <c r="Z448" s="40"/>
      <c r="AA448" s="40"/>
      <c r="AB448" s="40"/>
      <c r="AC448" s="40"/>
      <c r="AD448" s="40"/>
      <c r="AE448" s="40"/>
      <c r="AF448" s="40"/>
      <c r="AG448" s="40"/>
      <c r="AH448" s="40"/>
      <c r="AI448" s="45"/>
    </row>
    <row r="449" ht="90.75" customHeight="1">
      <c r="A449" s="36" t="s">
        <v>396</v>
      </c>
      <c r="B449" s="36" t="s">
        <v>1509</v>
      </c>
      <c r="C449" s="35" t="s">
        <v>1510</v>
      </c>
      <c r="D449" s="35" t="s">
        <v>1256</v>
      </c>
      <c r="E449" s="38" t="s">
        <v>1970</v>
      </c>
      <c r="F449" s="37"/>
      <c r="G449" s="38" t="s">
        <v>1089</v>
      </c>
      <c r="H449" s="37" t="s">
        <v>1090</v>
      </c>
      <c r="I449" s="37" t="s">
        <v>1971</v>
      </c>
      <c r="J449" s="37" t="s">
        <v>1972</v>
      </c>
      <c r="K449" s="38"/>
      <c r="L449" s="39">
        <v>400000.0</v>
      </c>
      <c r="M449" s="39">
        <v>398646.45</v>
      </c>
      <c r="N449" s="42">
        <v>0.0</v>
      </c>
      <c r="O449" s="39">
        <f t="shared" ref="O449:O456" si="76">M449+N449</f>
        <v>398646.45</v>
      </c>
      <c r="P449" s="36">
        <f t="shared" ref="P449:P454" si="77">IF(AND((M449+N449)&gt;0,L449=0),"No Funding Goal",IF(AND((M449+N449)=0,L449=0),0,(M449+N449)/L449))</f>
        <v>0.996616125</v>
      </c>
      <c r="Q449" s="36"/>
      <c r="R449" s="38" t="s">
        <v>1092</v>
      </c>
      <c r="S449" s="36" t="s">
        <v>1093</v>
      </c>
      <c r="T449" s="38" t="s">
        <v>1112</v>
      </c>
      <c r="U449" s="36" t="str">
        <f t="shared" ref="U449:U457" si="78">IFS(
    P449="No Funding Goal","Not Included",
    P449="Not Applicable","Not Included",
    P449&gt;=0.75,"1. Easy",
    AND(P449&lt;0.75,P449&gt;=0.5),"2. Moderate",
    P449&lt;0.5,"3. Difficult"
)</f>
        <v>1. Easy</v>
      </c>
      <c r="V449" s="84" t="s">
        <v>1973</v>
      </c>
      <c r="W449" s="38" t="s">
        <v>1612</v>
      </c>
      <c r="X449" s="40"/>
      <c r="Y449" s="40"/>
      <c r="Z449" s="40"/>
      <c r="AA449" s="40"/>
      <c r="AB449" s="40"/>
      <c r="AC449" s="40"/>
      <c r="AD449" s="40"/>
      <c r="AE449" s="40"/>
      <c r="AF449" s="40"/>
      <c r="AG449" s="40"/>
      <c r="AH449" s="40"/>
      <c r="AI449" s="45"/>
    </row>
    <row r="450" ht="105.0" customHeight="1">
      <c r="A450" s="36" t="s">
        <v>396</v>
      </c>
      <c r="B450" s="36" t="s">
        <v>1509</v>
      </c>
      <c r="C450" s="35" t="s">
        <v>1510</v>
      </c>
      <c r="D450" s="35" t="s">
        <v>1256</v>
      </c>
      <c r="E450" s="36" t="s">
        <v>418</v>
      </c>
      <c r="F450" s="36" t="s">
        <v>418</v>
      </c>
      <c r="G450" s="36" t="s">
        <v>1089</v>
      </c>
      <c r="H450" s="38" t="s">
        <v>1441</v>
      </c>
      <c r="I450" s="38"/>
      <c r="J450" s="38"/>
      <c r="K450" s="42">
        <v>600000.0</v>
      </c>
      <c r="L450" s="42">
        <v>800000.0</v>
      </c>
      <c r="M450" s="42">
        <f>193000-N450</f>
        <v>49800</v>
      </c>
      <c r="N450" s="42">
        <v>143200.0</v>
      </c>
      <c r="O450" s="39">
        <f t="shared" si="76"/>
        <v>193000</v>
      </c>
      <c r="P450" s="36">
        <f t="shared" si="77"/>
        <v>0.24125</v>
      </c>
      <c r="Q450" s="36"/>
      <c r="R450" s="38" t="s">
        <v>1092</v>
      </c>
      <c r="S450" s="38" t="s">
        <v>1093</v>
      </c>
      <c r="T450" s="38" t="s">
        <v>1286</v>
      </c>
      <c r="U450" s="36" t="str">
        <f t="shared" si="78"/>
        <v>3. Difficult</v>
      </c>
      <c r="V450" s="38" t="s">
        <v>1974</v>
      </c>
      <c r="W450" s="38" t="s">
        <v>1612</v>
      </c>
    </row>
    <row r="451" ht="150.0" customHeight="1">
      <c r="A451" s="36" t="s">
        <v>396</v>
      </c>
      <c r="B451" s="36" t="s">
        <v>1509</v>
      </c>
      <c r="C451" s="35" t="s">
        <v>1510</v>
      </c>
      <c r="D451" s="35" t="s">
        <v>1256</v>
      </c>
      <c r="E451" s="36" t="s">
        <v>417</v>
      </c>
      <c r="F451" s="36" t="s">
        <v>417</v>
      </c>
      <c r="G451" s="36" t="s">
        <v>1089</v>
      </c>
      <c r="H451" s="38" t="s">
        <v>1784</v>
      </c>
      <c r="I451" s="38" t="s">
        <v>218</v>
      </c>
      <c r="J451" s="38"/>
      <c r="K451" s="42"/>
      <c r="L451" s="42">
        <v>40000.0</v>
      </c>
      <c r="M451" s="42">
        <f>39872.43-N451</f>
        <v>13234.01</v>
      </c>
      <c r="N451" s="42">
        <v>26638.42</v>
      </c>
      <c r="O451" s="39">
        <f t="shared" si="76"/>
        <v>39872.43</v>
      </c>
      <c r="P451" s="36">
        <f t="shared" si="77"/>
        <v>0.99681075</v>
      </c>
      <c r="Q451" s="36"/>
      <c r="R451" s="38" t="s">
        <v>1311</v>
      </c>
      <c r="S451" s="38" t="s">
        <v>1093</v>
      </c>
      <c r="T451" s="38" t="s">
        <v>1094</v>
      </c>
      <c r="U451" s="36" t="str">
        <f t="shared" si="78"/>
        <v>1. Easy</v>
      </c>
      <c r="V451" s="38" t="s">
        <v>1975</v>
      </c>
      <c r="W451" s="38" t="s">
        <v>1612</v>
      </c>
    </row>
    <row r="452" ht="66.0" customHeight="1">
      <c r="A452" s="36" t="s">
        <v>396</v>
      </c>
      <c r="B452" s="36" t="s">
        <v>1509</v>
      </c>
      <c r="C452" s="35" t="s">
        <v>1510</v>
      </c>
      <c r="D452" s="35" t="s">
        <v>1256</v>
      </c>
      <c r="E452" s="36" t="s">
        <v>416</v>
      </c>
      <c r="F452" s="36" t="s">
        <v>416</v>
      </c>
      <c r="G452" s="36" t="s">
        <v>1089</v>
      </c>
      <c r="H452" s="38" t="s">
        <v>1784</v>
      </c>
      <c r="I452" s="38" t="s">
        <v>1104</v>
      </c>
      <c r="J452" s="38"/>
      <c r="K452" s="42">
        <v>100000.0</v>
      </c>
      <c r="L452" s="42">
        <v>250000.0</v>
      </c>
      <c r="M452" s="42">
        <f>229244.97-N452</f>
        <v>142084.55</v>
      </c>
      <c r="N452" s="42">
        <v>87160.42</v>
      </c>
      <c r="O452" s="39">
        <f t="shared" si="76"/>
        <v>229244.97</v>
      </c>
      <c r="P452" s="36">
        <f t="shared" si="77"/>
        <v>0.91697988</v>
      </c>
      <c r="Q452" s="36"/>
      <c r="R452" s="38" t="s">
        <v>1092</v>
      </c>
      <c r="S452" s="38" t="s">
        <v>1093</v>
      </c>
      <c r="T452" s="38" t="s">
        <v>1286</v>
      </c>
      <c r="U452" s="36" t="str">
        <f t="shared" si="78"/>
        <v>1. Easy</v>
      </c>
      <c r="V452" s="38" t="s">
        <v>1976</v>
      </c>
      <c r="W452" s="38" t="s">
        <v>1612</v>
      </c>
    </row>
    <row r="453" ht="71.25" customHeight="1">
      <c r="A453" s="36" t="s">
        <v>396</v>
      </c>
      <c r="B453" s="36" t="s">
        <v>1509</v>
      </c>
      <c r="C453" s="35" t="s">
        <v>1510</v>
      </c>
      <c r="D453" s="35" t="s">
        <v>1256</v>
      </c>
      <c r="E453" s="36" t="s">
        <v>456</v>
      </c>
      <c r="F453" s="36" t="s">
        <v>456</v>
      </c>
      <c r="G453" s="36" t="s">
        <v>1089</v>
      </c>
      <c r="H453" s="37" t="s">
        <v>1314</v>
      </c>
      <c r="I453" s="37" t="s">
        <v>41</v>
      </c>
      <c r="J453" s="38" t="s">
        <v>1198</v>
      </c>
      <c r="K453" s="38"/>
      <c r="L453" s="42">
        <v>500000.0</v>
      </c>
      <c r="M453" s="42">
        <v>500000.0</v>
      </c>
      <c r="N453" s="42">
        <v>0.0</v>
      </c>
      <c r="O453" s="39">
        <f t="shared" si="76"/>
        <v>500000</v>
      </c>
      <c r="P453" s="36">
        <f t="shared" si="77"/>
        <v>1</v>
      </c>
      <c r="Q453" s="36"/>
      <c r="R453" s="37" t="s">
        <v>1311</v>
      </c>
      <c r="S453" s="38" t="s">
        <v>1105</v>
      </c>
      <c r="T453" s="38" t="s">
        <v>1112</v>
      </c>
      <c r="U453" s="36" t="str">
        <f t="shared" si="78"/>
        <v>1. Easy</v>
      </c>
      <c r="V453" s="38" t="s">
        <v>1977</v>
      </c>
      <c r="W453" s="38" t="s">
        <v>1612</v>
      </c>
    </row>
    <row r="454" ht="81.75" customHeight="1">
      <c r="A454" s="36" t="s">
        <v>396</v>
      </c>
      <c r="B454" s="36" t="s">
        <v>1509</v>
      </c>
      <c r="C454" s="35" t="s">
        <v>1510</v>
      </c>
      <c r="D454" s="35" t="s">
        <v>1256</v>
      </c>
      <c r="E454" s="36" t="s">
        <v>449</v>
      </c>
      <c r="F454" s="36" t="s">
        <v>449</v>
      </c>
      <c r="G454" s="36" t="s">
        <v>1089</v>
      </c>
      <c r="H454" s="38" t="s">
        <v>1314</v>
      </c>
      <c r="I454" s="38" t="s">
        <v>41</v>
      </c>
      <c r="J454" s="38" t="s">
        <v>1881</v>
      </c>
      <c r="K454" s="38"/>
      <c r="L454" s="42">
        <v>30000.0</v>
      </c>
      <c r="M454" s="42">
        <v>0.0</v>
      </c>
      <c r="N454" s="42">
        <v>0.0</v>
      </c>
      <c r="O454" s="39">
        <f t="shared" si="76"/>
        <v>0</v>
      </c>
      <c r="P454" s="36">
        <f t="shared" si="77"/>
        <v>0</v>
      </c>
      <c r="Q454" s="36"/>
      <c r="R454" s="36" t="s">
        <v>1092</v>
      </c>
      <c r="S454" s="38" t="s">
        <v>1105</v>
      </c>
      <c r="T454" s="38" t="s">
        <v>1286</v>
      </c>
      <c r="U454" s="36" t="str">
        <f t="shared" si="78"/>
        <v>3. Difficult</v>
      </c>
      <c r="V454" s="38" t="s">
        <v>1978</v>
      </c>
      <c r="W454" s="38" t="s">
        <v>1612</v>
      </c>
    </row>
    <row r="455" ht="71.25" customHeight="1">
      <c r="A455" s="36" t="s">
        <v>396</v>
      </c>
      <c r="B455" s="36" t="s">
        <v>1509</v>
      </c>
      <c r="C455" s="35" t="s">
        <v>1510</v>
      </c>
      <c r="D455" s="35" t="s">
        <v>1256</v>
      </c>
      <c r="E455" s="36" t="s">
        <v>401</v>
      </c>
      <c r="F455" s="36" t="s">
        <v>401</v>
      </c>
      <c r="G455" s="36" t="s">
        <v>1089</v>
      </c>
      <c r="H455" s="38" t="s">
        <v>1314</v>
      </c>
      <c r="I455" s="38" t="s">
        <v>1713</v>
      </c>
      <c r="J455" s="38" t="s">
        <v>1841</v>
      </c>
      <c r="K455" s="38"/>
      <c r="L455" s="42"/>
      <c r="M455" s="42"/>
      <c r="N455" s="42"/>
      <c r="O455" s="39">
        <f t="shared" si="76"/>
        <v>0</v>
      </c>
      <c r="P455" s="36" t="s">
        <v>1098</v>
      </c>
      <c r="Q455" s="36"/>
      <c r="R455" s="38" t="s">
        <v>1243</v>
      </c>
      <c r="S455" s="38" t="s">
        <v>1105</v>
      </c>
      <c r="T455" s="38" t="s">
        <v>1094</v>
      </c>
      <c r="U455" s="36" t="str">
        <f t="shared" si="78"/>
        <v>Not Included</v>
      </c>
      <c r="V455" s="38" t="s">
        <v>1979</v>
      </c>
      <c r="W455" s="38" t="s">
        <v>1612</v>
      </c>
    </row>
    <row r="456" ht="71.25" customHeight="1">
      <c r="A456" s="36" t="s">
        <v>396</v>
      </c>
      <c r="B456" s="36" t="s">
        <v>1509</v>
      </c>
      <c r="C456" s="35" t="s">
        <v>1510</v>
      </c>
      <c r="D456" s="35" t="s">
        <v>1256</v>
      </c>
      <c r="E456" s="36" t="s">
        <v>407</v>
      </c>
      <c r="F456" s="36" t="s">
        <v>407</v>
      </c>
      <c r="G456" s="36" t="s">
        <v>1089</v>
      </c>
      <c r="H456" s="38" t="s">
        <v>1347</v>
      </c>
      <c r="I456" s="38" t="s">
        <v>1848</v>
      </c>
      <c r="J456" s="38"/>
      <c r="K456" s="42"/>
      <c r="L456" s="42"/>
      <c r="M456" s="42"/>
      <c r="N456" s="42"/>
      <c r="O456" s="39">
        <f t="shared" si="76"/>
        <v>0</v>
      </c>
      <c r="P456" s="36" t="s">
        <v>1098</v>
      </c>
      <c r="Q456" s="36"/>
      <c r="R456" s="38" t="s">
        <v>1092</v>
      </c>
      <c r="S456" s="38" t="s">
        <v>1105</v>
      </c>
      <c r="T456" s="38" t="s">
        <v>1112</v>
      </c>
      <c r="U456" s="36" t="str">
        <f t="shared" si="78"/>
        <v>Not Included</v>
      </c>
      <c r="V456" s="38" t="s">
        <v>1980</v>
      </c>
      <c r="W456" s="38" t="s">
        <v>1612</v>
      </c>
    </row>
    <row r="457" ht="81.75" customHeight="1">
      <c r="A457" s="36" t="s">
        <v>396</v>
      </c>
      <c r="B457" s="36" t="s">
        <v>1509</v>
      </c>
      <c r="C457" s="35" t="s">
        <v>1510</v>
      </c>
      <c r="D457" s="35" t="s">
        <v>1256</v>
      </c>
      <c r="E457" s="36" t="s">
        <v>473</v>
      </c>
      <c r="F457" s="36" t="s">
        <v>473</v>
      </c>
      <c r="G457" s="35" t="s">
        <v>1116</v>
      </c>
      <c r="H457" s="37" t="s">
        <v>162</v>
      </c>
      <c r="I457" s="37" t="s">
        <v>1239</v>
      </c>
      <c r="J457" s="38"/>
      <c r="K457" s="38"/>
      <c r="L457" s="38"/>
      <c r="M457" s="38"/>
      <c r="N457" s="38"/>
      <c r="O457" s="38"/>
      <c r="P457" s="38" t="s">
        <v>1098</v>
      </c>
      <c r="Q457" s="38"/>
      <c r="R457" s="37"/>
      <c r="S457" s="38" t="s">
        <v>1100</v>
      </c>
      <c r="T457" s="38" t="s">
        <v>1112</v>
      </c>
      <c r="U457" s="36" t="str">
        <f t="shared" si="78"/>
        <v>Not Included</v>
      </c>
      <c r="V457" s="38" t="s">
        <v>1981</v>
      </c>
      <c r="W457" s="38" t="s">
        <v>1612</v>
      </c>
    </row>
    <row r="458" ht="54.0" customHeight="1">
      <c r="A458" s="36" t="s">
        <v>396</v>
      </c>
      <c r="B458" s="36" t="s">
        <v>1509</v>
      </c>
      <c r="C458" s="35" t="s">
        <v>1510</v>
      </c>
      <c r="D458" s="35" t="s">
        <v>1256</v>
      </c>
      <c r="E458" s="36" t="s">
        <v>721</v>
      </c>
      <c r="F458" s="36" t="s">
        <v>721</v>
      </c>
      <c r="G458" s="36" t="s">
        <v>1116</v>
      </c>
      <c r="H458" s="37" t="s">
        <v>1129</v>
      </c>
      <c r="I458" s="37"/>
      <c r="J458" s="38"/>
      <c r="K458" s="38"/>
      <c r="L458" s="38"/>
      <c r="M458" s="38"/>
      <c r="N458" s="38"/>
      <c r="O458" s="38"/>
      <c r="P458" s="38" t="s">
        <v>1098</v>
      </c>
      <c r="Q458" s="38"/>
      <c r="R458" s="37"/>
      <c r="S458" s="38" t="s">
        <v>1105</v>
      </c>
      <c r="T458" s="38" t="s">
        <v>1112</v>
      </c>
      <c r="U458" s="38"/>
      <c r="V458" s="37"/>
      <c r="W458" s="37"/>
    </row>
    <row r="459" ht="54.0" customHeight="1">
      <c r="A459" s="36" t="s">
        <v>396</v>
      </c>
      <c r="B459" s="36" t="s">
        <v>1509</v>
      </c>
      <c r="C459" s="35" t="s">
        <v>1510</v>
      </c>
      <c r="D459" s="35" t="s">
        <v>1256</v>
      </c>
      <c r="E459" s="36" t="s">
        <v>412</v>
      </c>
      <c r="F459" s="36" t="s">
        <v>412</v>
      </c>
      <c r="G459" s="36" t="s">
        <v>1089</v>
      </c>
      <c r="H459" s="37" t="s">
        <v>1129</v>
      </c>
      <c r="I459" s="37" t="s">
        <v>1331</v>
      </c>
      <c r="J459" s="38"/>
      <c r="K459" s="38"/>
      <c r="L459" s="42"/>
      <c r="M459" s="42"/>
      <c r="N459" s="42"/>
      <c r="O459" s="39">
        <f>M459+N459</f>
        <v>0</v>
      </c>
      <c r="P459" s="38" t="s">
        <v>1098</v>
      </c>
      <c r="Q459" s="38"/>
      <c r="R459" s="37" t="s">
        <v>1092</v>
      </c>
      <c r="S459" s="38" t="s">
        <v>1105</v>
      </c>
      <c r="T459" s="38" t="s">
        <v>1112</v>
      </c>
      <c r="U459" s="36" t="str">
        <f>IFS(
    P459="No Funding Goal","Not Included",
    P459="Not Applicable","Not Included",
    P459&gt;=0.75,"1. Easy",
    AND(P459&lt;0.75,P459&gt;=0.5),"2. Moderate",
    P459&lt;0.5,"3. Difficult"
)</f>
        <v>Not Included</v>
      </c>
      <c r="V459" s="38" t="s">
        <v>1982</v>
      </c>
      <c r="W459" s="38" t="s">
        <v>1612</v>
      </c>
    </row>
    <row r="460" ht="15.75" customHeight="1">
      <c r="A460" s="36" t="s">
        <v>396</v>
      </c>
      <c r="B460" s="36" t="s">
        <v>1509</v>
      </c>
      <c r="C460" s="35" t="s">
        <v>1510</v>
      </c>
      <c r="D460" s="35" t="s">
        <v>1256</v>
      </c>
      <c r="E460" s="36" t="s">
        <v>757</v>
      </c>
      <c r="F460" s="36" t="s">
        <v>757</v>
      </c>
      <c r="G460" s="36" t="s">
        <v>1116</v>
      </c>
      <c r="H460" s="37" t="s">
        <v>1129</v>
      </c>
      <c r="I460" s="37"/>
      <c r="J460" s="38"/>
      <c r="K460" s="38"/>
      <c r="L460" s="38"/>
      <c r="M460" s="38"/>
      <c r="N460" s="38"/>
      <c r="O460" s="38"/>
      <c r="P460" s="38" t="s">
        <v>1098</v>
      </c>
      <c r="Q460" s="38"/>
      <c r="R460" s="37"/>
      <c r="S460" s="38" t="s">
        <v>1105</v>
      </c>
      <c r="T460" s="38" t="s">
        <v>1112</v>
      </c>
      <c r="U460" s="38"/>
      <c r="V460" s="37"/>
      <c r="W460" s="37"/>
    </row>
    <row r="461" ht="72.75" customHeight="1">
      <c r="A461" s="36" t="s">
        <v>396</v>
      </c>
      <c r="B461" s="36" t="s">
        <v>1509</v>
      </c>
      <c r="C461" s="35" t="s">
        <v>1510</v>
      </c>
      <c r="D461" s="35" t="s">
        <v>1256</v>
      </c>
      <c r="E461" s="36" t="s">
        <v>741</v>
      </c>
      <c r="F461" s="36" t="s">
        <v>741</v>
      </c>
      <c r="G461" s="36" t="s">
        <v>1116</v>
      </c>
      <c r="H461" s="37" t="s">
        <v>1139</v>
      </c>
      <c r="I461" s="37"/>
      <c r="J461" s="38"/>
      <c r="K461" s="38"/>
      <c r="L461" s="38"/>
      <c r="M461" s="38"/>
      <c r="N461" s="38"/>
      <c r="O461" s="38"/>
      <c r="P461" s="38" t="s">
        <v>1098</v>
      </c>
      <c r="Q461" s="38"/>
      <c r="R461" s="37"/>
      <c r="S461" s="38"/>
      <c r="T461" s="38"/>
      <c r="U461" s="38"/>
      <c r="V461" s="37"/>
      <c r="W461" s="37"/>
    </row>
    <row r="462" ht="81.75" customHeight="1">
      <c r="A462" s="36" t="s">
        <v>396</v>
      </c>
      <c r="B462" s="36" t="s">
        <v>1509</v>
      </c>
      <c r="C462" s="35" t="s">
        <v>1510</v>
      </c>
      <c r="D462" s="35" t="s">
        <v>1256</v>
      </c>
      <c r="E462" s="36" t="s">
        <v>836</v>
      </c>
      <c r="F462" s="36" t="s">
        <v>836</v>
      </c>
      <c r="G462" s="36" t="s">
        <v>1116</v>
      </c>
      <c r="H462" s="37" t="s">
        <v>1139</v>
      </c>
      <c r="I462" s="37"/>
      <c r="J462" s="38"/>
      <c r="K462" s="38"/>
      <c r="L462" s="38"/>
      <c r="M462" s="38"/>
      <c r="N462" s="38"/>
      <c r="O462" s="38"/>
      <c r="P462" s="38" t="s">
        <v>1098</v>
      </c>
      <c r="Q462" s="38"/>
      <c r="R462" s="37"/>
      <c r="S462" s="38"/>
      <c r="T462" s="38"/>
      <c r="U462" s="38"/>
      <c r="V462" s="37"/>
      <c r="W462" s="37"/>
    </row>
    <row r="463" ht="15.75" customHeight="1">
      <c r="A463" s="36" t="s">
        <v>396</v>
      </c>
      <c r="B463" s="36" t="s">
        <v>1509</v>
      </c>
      <c r="C463" s="35" t="s">
        <v>1510</v>
      </c>
      <c r="D463" s="35" t="s">
        <v>1256</v>
      </c>
      <c r="E463" s="36" t="s">
        <v>748</v>
      </c>
      <c r="F463" s="36" t="s">
        <v>748</v>
      </c>
      <c r="G463" s="36" t="s">
        <v>1116</v>
      </c>
      <c r="H463" s="37" t="s">
        <v>1139</v>
      </c>
      <c r="I463" s="37"/>
      <c r="J463" s="38"/>
      <c r="K463" s="38"/>
      <c r="L463" s="38"/>
      <c r="M463" s="38"/>
      <c r="N463" s="38"/>
      <c r="O463" s="38"/>
      <c r="P463" s="38" t="s">
        <v>1098</v>
      </c>
      <c r="Q463" s="38"/>
      <c r="R463" s="37"/>
      <c r="S463" s="38"/>
      <c r="T463" s="38"/>
      <c r="U463" s="38"/>
      <c r="V463" s="37"/>
      <c r="W463" s="37"/>
      <c r="AI463" s="78"/>
    </row>
    <row r="464" ht="54.0" customHeight="1">
      <c r="A464" s="36" t="s">
        <v>396</v>
      </c>
      <c r="B464" s="36" t="s">
        <v>1509</v>
      </c>
      <c r="C464" s="35" t="s">
        <v>1510</v>
      </c>
      <c r="D464" s="35" t="s">
        <v>1256</v>
      </c>
      <c r="E464" s="36" t="s">
        <v>765</v>
      </c>
      <c r="F464" s="36" t="s">
        <v>765</v>
      </c>
      <c r="G464" s="36" t="s">
        <v>1116</v>
      </c>
      <c r="H464" s="37" t="s">
        <v>1139</v>
      </c>
      <c r="I464" s="37"/>
      <c r="J464" s="38"/>
      <c r="K464" s="38"/>
      <c r="L464" s="38"/>
      <c r="M464" s="38"/>
      <c r="N464" s="38"/>
      <c r="O464" s="38"/>
      <c r="P464" s="38" t="s">
        <v>1098</v>
      </c>
      <c r="Q464" s="38"/>
      <c r="R464" s="37"/>
      <c r="S464" s="38"/>
      <c r="T464" s="38"/>
      <c r="U464" s="38"/>
      <c r="V464" s="37"/>
      <c r="W464" s="37"/>
    </row>
    <row r="465" ht="15.75" customHeight="1">
      <c r="A465" s="36" t="s">
        <v>396</v>
      </c>
      <c r="B465" s="36" t="s">
        <v>1509</v>
      </c>
      <c r="C465" s="35" t="s">
        <v>1510</v>
      </c>
      <c r="D465" s="35" t="s">
        <v>1256</v>
      </c>
      <c r="E465" s="36" t="s">
        <v>823</v>
      </c>
      <c r="F465" s="36" t="s">
        <v>823</v>
      </c>
      <c r="G465" s="36" t="s">
        <v>1116</v>
      </c>
      <c r="H465" s="38" t="s">
        <v>1139</v>
      </c>
      <c r="I465" s="38" t="s">
        <v>1798</v>
      </c>
      <c r="J465" s="38"/>
      <c r="K465" s="38"/>
      <c r="L465" s="38"/>
      <c r="M465" s="38"/>
      <c r="N465" s="38"/>
      <c r="O465" s="38"/>
      <c r="P465" s="38" t="s">
        <v>1098</v>
      </c>
      <c r="Q465" s="38"/>
      <c r="R465" s="37"/>
      <c r="S465" s="38"/>
      <c r="T465" s="38"/>
      <c r="U465" s="38"/>
      <c r="V465" s="37"/>
      <c r="W465" s="37"/>
    </row>
    <row r="466" ht="15.75" customHeight="1">
      <c r="A466" s="36" t="s">
        <v>396</v>
      </c>
      <c r="B466" s="36" t="s">
        <v>1509</v>
      </c>
      <c r="C466" s="35" t="s">
        <v>1510</v>
      </c>
      <c r="D466" s="35" t="s">
        <v>1256</v>
      </c>
      <c r="E466" s="36" t="s">
        <v>851</v>
      </c>
      <c r="F466" s="36" t="s">
        <v>851</v>
      </c>
      <c r="G466" s="36" t="s">
        <v>1116</v>
      </c>
      <c r="H466" s="37" t="s">
        <v>1139</v>
      </c>
      <c r="I466" s="37" t="s">
        <v>1238</v>
      </c>
      <c r="J466" s="38"/>
      <c r="K466" s="38"/>
      <c r="L466" s="38"/>
      <c r="M466" s="38"/>
      <c r="N466" s="38"/>
      <c r="O466" s="38"/>
      <c r="P466" s="38" t="s">
        <v>1098</v>
      </c>
      <c r="Q466" s="38"/>
      <c r="R466" s="37"/>
      <c r="S466" s="38"/>
      <c r="T466" s="38"/>
      <c r="U466" s="38"/>
      <c r="V466" s="37"/>
      <c r="W466" s="37"/>
    </row>
    <row r="467" ht="15.75" customHeight="1">
      <c r="A467" s="36" t="s">
        <v>396</v>
      </c>
      <c r="B467" s="36" t="s">
        <v>1509</v>
      </c>
      <c r="C467" s="35" t="s">
        <v>1510</v>
      </c>
      <c r="D467" s="35" t="s">
        <v>1256</v>
      </c>
      <c r="E467" s="36" t="s">
        <v>820</v>
      </c>
      <c r="F467" s="36" t="s">
        <v>821</v>
      </c>
      <c r="G467" s="36" t="s">
        <v>1116</v>
      </c>
      <c r="H467" s="37" t="s">
        <v>1139</v>
      </c>
      <c r="I467" s="37" t="s">
        <v>1238</v>
      </c>
      <c r="J467" s="38"/>
      <c r="K467" s="38"/>
      <c r="L467" s="38"/>
      <c r="M467" s="38"/>
      <c r="N467" s="38"/>
      <c r="O467" s="38"/>
      <c r="P467" s="38" t="s">
        <v>1098</v>
      </c>
      <c r="Q467" s="38"/>
      <c r="R467" s="37"/>
      <c r="S467" s="38"/>
      <c r="T467" s="38"/>
      <c r="U467" s="38"/>
      <c r="V467" s="37"/>
      <c r="W467" s="37"/>
    </row>
    <row r="468" ht="65.25" customHeight="1">
      <c r="A468" s="36" t="s">
        <v>396</v>
      </c>
      <c r="B468" s="36" t="s">
        <v>1509</v>
      </c>
      <c r="C468" s="35" t="s">
        <v>1510</v>
      </c>
      <c r="D468" s="35" t="s">
        <v>1256</v>
      </c>
      <c r="E468" s="36" t="s">
        <v>1038</v>
      </c>
      <c r="F468" s="36" t="s">
        <v>1039</v>
      </c>
      <c r="G468" s="36" t="s">
        <v>1116</v>
      </c>
      <c r="H468" s="37" t="s">
        <v>1139</v>
      </c>
      <c r="I468" s="37" t="s">
        <v>1737</v>
      </c>
      <c r="J468" s="37" t="s">
        <v>1983</v>
      </c>
      <c r="L468" s="38"/>
      <c r="M468" s="38"/>
      <c r="N468" s="38"/>
      <c r="O468" s="38"/>
      <c r="P468" s="38" t="s">
        <v>1098</v>
      </c>
      <c r="Q468" s="38"/>
      <c r="R468" s="37"/>
      <c r="S468" s="38"/>
      <c r="T468" s="38"/>
      <c r="U468" s="38"/>
      <c r="V468" s="37"/>
      <c r="W468" s="37"/>
      <c r="AI468" s="68"/>
    </row>
    <row r="469" ht="69.75" customHeight="1">
      <c r="A469" s="36" t="s">
        <v>396</v>
      </c>
      <c r="B469" s="36" t="s">
        <v>1509</v>
      </c>
      <c r="C469" s="35" t="s">
        <v>1510</v>
      </c>
      <c r="D469" s="35" t="s">
        <v>1256</v>
      </c>
      <c r="E469" s="36" t="s">
        <v>831</v>
      </c>
      <c r="F469" s="36" t="s">
        <v>831</v>
      </c>
      <c r="G469" s="36" t="s">
        <v>1116</v>
      </c>
      <c r="H469" s="38" t="s">
        <v>1139</v>
      </c>
      <c r="I469" s="38" t="s">
        <v>1446</v>
      </c>
      <c r="J469" s="38"/>
      <c r="K469" s="38"/>
      <c r="L469" s="38"/>
      <c r="M469" s="38"/>
      <c r="N469" s="38"/>
      <c r="O469" s="38"/>
      <c r="P469" s="38" t="s">
        <v>1098</v>
      </c>
      <c r="Q469" s="38"/>
      <c r="R469" s="37"/>
      <c r="S469" s="38"/>
      <c r="T469" s="38"/>
      <c r="U469" s="38"/>
      <c r="V469" s="37"/>
      <c r="W469" s="37"/>
    </row>
    <row r="470" ht="59.25" customHeight="1">
      <c r="A470" s="36" t="s">
        <v>396</v>
      </c>
      <c r="B470" s="36" t="s">
        <v>1509</v>
      </c>
      <c r="C470" s="35" t="s">
        <v>1510</v>
      </c>
      <c r="D470" s="35" t="s">
        <v>1256</v>
      </c>
      <c r="E470" s="36" t="s">
        <v>726</v>
      </c>
      <c r="F470" s="36" t="s">
        <v>726</v>
      </c>
      <c r="G470" s="36" t="s">
        <v>1116</v>
      </c>
      <c r="H470" s="37" t="s">
        <v>1139</v>
      </c>
      <c r="I470" s="37" t="s">
        <v>1217</v>
      </c>
      <c r="J470" s="38"/>
      <c r="K470" s="38"/>
      <c r="L470" s="38"/>
      <c r="M470" s="38"/>
      <c r="N470" s="38"/>
      <c r="O470" s="38"/>
      <c r="P470" s="38" t="s">
        <v>1098</v>
      </c>
      <c r="Q470" s="38"/>
      <c r="R470" s="37"/>
      <c r="S470" s="38"/>
      <c r="T470" s="38"/>
      <c r="U470" s="38"/>
      <c r="V470" s="37"/>
      <c r="W470" s="37"/>
    </row>
    <row r="471" ht="64.5" customHeight="1">
      <c r="A471" s="36" t="s">
        <v>396</v>
      </c>
      <c r="B471" s="36" t="s">
        <v>1509</v>
      </c>
      <c r="C471" s="35" t="s">
        <v>1510</v>
      </c>
      <c r="D471" s="35" t="s">
        <v>1256</v>
      </c>
      <c r="E471" s="36" t="s">
        <v>470</v>
      </c>
      <c r="F471" s="36" t="s">
        <v>470</v>
      </c>
      <c r="G471" s="36" t="s">
        <v>1089</v>
      </c>
      <c r="H471" s="38" t="s">
        <v>1533</v>
      </c>
      <c r="I471" s="38" t="s">
        <v>1685</v>
      </c>
      <c r="J471" s="38" t="s">
        <v>1984</v>
      </c>
      <c r="K471" s="38"/>
      <c r="L471" s="42"/>
      <c r="M471" s="42"/>
      <c r="N471" s="42"/>
      <c r="O471" s="39">
        <f t="shared" ref="O471:O473" si="79">M471+N471</f>
        <v>0</v>
      </c>
      <c r="P471" s="38" t="s">
        <v>1098</v>
      </c>
      <c r="Q471" s="38"/>
      <c r="R471" s="36" t="s">
        <v>1092</v>
      </c>
      <c r="S471" s="38" t="s">
        <v>1100</v>
      </c>
      <c r="T471" s="36" t="s">
        <v>1112</v>
      </c>
      <c r="U471" s="36" t="str">
        <f t="shared" ref="U471:U473" si="80">IFS(
    P471="No Funding Goal","Not Included",
    P471="Not Applicable","Not Included",
    P471&gt;=0.75,"1. Easy",
    AND(P471&lt;0.75,P471&gt;=0.5),"2. Moderate",
    P471&lt;0.5,"3. Difficult"
)</f>
        <v>Not Included</v>
      </c>
      <c r="V471" s="38" t="s">
        <v>1985</v>
      </c>
      <c r="W471" s="38" t="s">
        <v>1845</v>
      </c>
    </row>
    <row r="472" ht="46.5" customHeight="1">
      <c r="A472" s="36" t="s">
        <v>396</v>
      </c>
      <c r="B472" s="36" t="s">
        <v>1509</v>
      </c>
      <c r="C472" s="35" t="s">
        <v>1510</v>
      </c>
      <c r="D472" s="35" t="s">
        <v>1256</v>
      </c>
      <c r="E472" s="36" t="s">
        <v>479</v>
      </c>
      <c r="F472" s="37"/>
      <c r="G472" s="38" t="s">
        <v>1089</v>
      </c>
      <c r="H472" s="37" t="s">
        <v>1369</v>
      </c>
      <c r="I472" s="37" t="s">
        <v>1370</v>
      </c>
      <c r="J472" s="38"/>
      <c r="K472" s="38"/>
      <c r="L472" s="39">
        <v>600909.0</v>
      </c>
      <c r="M472" s="39">
        <v>0.0</v>
      </c>
      <c r="N472" s="39">
        <v>47629.0</v>
      </c>
      <c r="O472" s="39">
        <f t="shared" si="79"/>
        <v>47629</v>
      </c>
      <c r="P472" s="36">
        <f t="shared" ref="P472:P473" si="81">IF(AND((M472+N472)&gt;0,L472=0),"No Funding Goal",IF(AND((M472+N472)=0,L472=0),0,(M472+N472)/L472))</f>
        <v>0.07926158536</v>
      </c>
      <c r="Q472" s="36"/>
      <c r="R472" s="45" t="s">
        <v>1371</v>
      </c>
      <c r="S472" s="36" t="s">
        <v>1100</v>
      </c>
      <c r="T472" s="36" t="s">
        <v>1112</v>
      </c>
      <c r="U472" s="36" t="str">
        <f t="shared" si="80"/>
        <v>3. Difficult</v>
      </c>
      <c r="V472" s="36"/>
      <c r="W472" s="38"/>
      <c r="X472" s="40"/>
      <c r="Y472" s="40"/>
      <c r="Z472" s="40"/>
      <c r="AA472" s="40"/>
      <c r="AB472" s="40"/>
      <c r="AC472" s="40"/>
      <c r="AD472" s="40"/>
      <c r="AE472" s="40"/>
      <c r="AF472" s="40"/>
      <c r="AG472" s="40"/>
      <c r="AH472" s="40"/>
      <c r="AI472" s="45"/>
    </row>
    <row r="473" ht="66.75" customHeight="1">
      <c r="A473" s="36" t="s">
        <v>396</v>
      </c>
      <c r="B473" s="36" t="s">
        <v>1509</v>
      </c>
      <c r="C473" s="35" t="s">
        <v>1510</v>
      </c>
      <c r="D473" s="35" t="s">
        <v>1256</v>
      </c>
      <c r="E473" s="36" t="s">
        <v>420</v>
      </c>
      <c r="F473" s="37"/>
      <c r="G473" s="38" t="s">
        <v>1089</v>
      </c>
      <c r="H473" s="37" t="s">
        <v>1369</v>
      </c>
      <c r="I473" s="37" t="s">
        <v>1337</v>
      </c>
      <c r="J473" s="38"/>
      <c r="K473" s="38"/>
      <c r="L473" s="39">
        <v>1000000.0</v>
      </c>
      <c r="M473" s="39">
        <v>0.0</v>
      </c>
      <c r="N473" s="39">
        <v>196091.0</v>
      </c>
      <c r="O473" s="39">
        <f t="shared" si="79"/>
        <v>196091</v>
      </c>
      <c r="P473" s="36">
        <f t="shared" si="81"/>
        <v>0.196091</v>
      </c>
      <c r="Q473" s="36"/>
      <c r="R473" s="45" t="s">
        <v>1371</v>
      </c>
      <c r="S473" s="38" t="s">
        <v>1100</v>
      </c>
      <c r="T473" s="36" t="s">
        <v>1112</v>
      </c>
      <c r="U473" s="36" t="str">
        <f t="shared" si="80"/>
        <v>3. Difficult</v>
      </c>
      <c r="V473" s="36" t="s">
        <v>1793</v>
      </c>
      <c r="W473" s="38" t="s">
        <v>1531</v>
      </c>
    </row>
    <row r="474" ht="15.75" customHeight="1">
      <c r="A474" s="45" t="s">
        <v>396</v>
      </c>
      <c r="B474" s="45" t="s">
        <v>1509</v>
      </c>
      <c r="C474" s="35" t="s">
        <v>1510</v>
      </c>
      <c r="D474" s="35" t="s">
        <v>1256</v>
      </c>
      <c r="E474" s="49" t="s">
        <v>277</v>
      </c>
      <c r="F474" s="49" t="s">
        <v>460</v>
      </c>
      <c r="G474" s="40" t="s">
        <v>1167</v>
      </c>
      <c r="H474" s="8" t="s">
        <v>1145</v>
      </c>
      <c r="I474" s="8"/>
      <c r="J474" s="47"/>
      <c r="K474" s="47"/>
      <c r="L474" s="61">
        <v>250000.0</v>
      </c>
      <c r="M474" s="61"/>
      <c r="N474" s="61">
        <v>0.0</v>
      </c>
      <c r="O474" s="92"/>
      <c r="P474" s="92" t="s">
        <v>1167</v>
      </c>
      <c r="Q474" s="92"/>
      <c r="R474" s="8"/>
      <c r="S474" s="45" t="s">
        <v>1100</v>
      </c>
      <c r="T474" s="40" t="s">
        <v>1106</v>
      </c>
      <c r="U474" s="47"/>
      <c r="V474" s="36" t="s">
        <v>1986</v>
      </c>
      <c r="W474" s="45" t="s">
        <v>1826</v>
      </c>
      <c r="X474" s="68"/>
      <c r="Y474" s="68"/>
      <c r="Z474" s="68"/>
      <c r="AA474" s="68"/>
      <c r="AB474" s="68"/>
      <c r="AC474" s="68"/>
      <c r="AD474" s="68"/>
      <c r="AE474" s="68"/>
      <c r="AF474" s="68"/>
      <c r="AG474" s="68"/>
      <c r="AH474" s="68"/>
    </row>
    <row r="475" ht="15.75" customHeight="1">
      <c r="A475" s="35" t="s">
        <v>396</v>
      </c>
      <c r="B475" s="36" t="s">
        <v>1509</v>
      </c>
      <c r="C475" s="35" t="s">
        <v>1510</v>
      </c>
      <c r="D475" s="35" t="s">
        <v>1256</v>
      </c>
      <c r="E475" s="36" t="s">
        <v>230</v>
      </c>
      <c r="F475" s="36" t="s">
        <v>423</v>
      </c>
      <c r="G475" s="36" t="s">
        <v>1089</v>
      </c>
      <c r="H475" s="36" t="s">
        <v>1090</v>
      </c>
      <c r="I475" s="36" t="s">
        <v>1091</v>
      </c>
      <c r="J475" s="38" t="s">
        <v>1987</v>
      </c>
      <c r="K475" s="38"/>
      <c r="L475" s="39">
        <v>1500000.0</v>
      </c>
      <c r="M475" s="39">
        <v>0.0</v>
      </c>
      <c r="N475" s="39">
        <v>0.0</v>
      </c>
      <c r="O475" s="39">
        <f t="shared" ref="O475:O477" si="82">M475+N475</f>
        <v>0</v>
      </c>
      <c r="P475" s="36">
        <f>IF(AND((M475+N475)&gt;0,L475=0),"No Funding Goal",IF(AND((M475+N475)=0,L475=0),0,(M475+N475)/L475))</f>
        <v>0</v>
      </c>
      <c r="Q475" s="47"/>
      <c r="R475" s="38" t="s">
        <v>1092</v>
      </c>
      <c r="S475" s="36" t="s">
        <v>1093</v>
      </c>
      <c r="T475" s="38" t="s">
        <v>1094</v>
      </c>
      <c r="U475" s="36" t="str">
        <f t="shared" ref="U475:U478" si="83">IFS(
    P475="No Funding Goal","Not Included",
    P475="Not Applicable","Not Included",
    P475&gt;=0.75,"1. Easy",
    AND(P475&lt;0.75,P475&gt;=0.5),"2. Moderate",
    P475&lt;0.5,"3. Difficult"
)</f>
        <v>3. Difficult</v>
      </c>
      <c r="V475" s="36"/>
      <c r="W475" s="36" t="s">
        <v>1803</v>
      </c>
      <c r="X475" s="45"/>
      <c r="Y475" s="45"/>
      <c r="Z475" s="40"/>
      <c r="AA475" s="40"/>
      <c r="AB475" s="40"/>
      <c r="AC475" s="40"/>
      <c r="AD475" s="40"/>
      <c r="AE475" s="40"/>
      <c r="AF475" s="40"/>
      <c r="AG475" s="40"/>
      <c r="AH475" s="40"/>
      <c r="AI475" s="40"/>
    </row>
    <row r="476" ht="15.75" customHeight="1">
      <c r="A476" s="36" t="s">
        <v>481</v>
      </c>
      <c r="B476" s="36" t="s">
        <v>1804</v>
      </c>
      <c r="C476" s="35" t="s">
        <v>1805</v>
      </c>
      <c r="D476" s="35" t="s">
        <v>1256</v>
      </c>
      <c r="E476" s="36" t="s">
        <v>520</v>
      </c>
      <c r="F476" s="36" t="s">
        <v>520</v>
      </c>
      <c r="G476" s="36" t="s">
        <v>1089</v>
      </c>
      <c r="H476" s="38" t="s">
        <v>1157</v>
      </c>
      <c r="I476" s="38" t="s">
        <v>1178</v>
      </c>
      <c r="J476" s="38" t="s">
        <v>1988</v>
      </c>
      <c r="K476" s="42"/>
      <c r="L476" s="42">
        <v>500000.0</v>
      </c>
      <c r="M476" s="42">
        <v>500000.0</v>
      </c>
      <c r="N476" s="42">
        <v>0.0</v>
      </c>
      <c r="O476" s="39">
        <f t="shared" si="82"/>
        <v>500000</v>
      </c>
      <c r="P476" s="47"/>
      <c r="Q476" s="35"/>
      <c r="R476" s="36" t="s">
        <v>1159</v>
      </c>
      <c r="S476" s="38" t="s">
        <v>1105</v>
      </c>
      <c r="T476" s="38" t="s">
        <v>1112</v>
      </c>
      <c r="U476" s="36" t="str">
        <f t="shared" si="83"/>
        <v>3. Difficult</v>
      </c>
      <c r="V476" s="38" t="s">
        <v>1989</v>
      </c>
      <c r="W476" s="38" t="s">
        <v>1612</v>
      </c>
    </row>
    <row r="477" ht="15.75" customHeight="1">
      <c r="A477" s="36" t="s">
        <v>538</v>
      </c>
      <c r="B477" s="36" t="s">
        <v>1086</v>
      </c>
      <c r="C477" s="35" t="s">
        <v>1087</v>
      </c>
      <c r="D477" s="35" t="s">
        <v>1088</v>
      </c>
      <c r="E477" s="36" t="s">
        <v>863</v>
      </c>
      <c r="F477" s="36" t="s">
        <v>863</v>
      </c>
      <c r="G477" s="36" t="s">
        <v>1089</v>
      </c>
      <c r="H477" s="38" t="s">
        <v>1257</v>
      </c>
      <c r="I477" s="38" t="s">
        <v>1265</v>
      </c>
      <c r="J477" s="38" t="s">
        <v>1990</v>
      </c>
      <c r="K477" s="38"/>
      <c r="L477" s="42"/>
      <c r="M477" s="42"/>
      <c r="N477" s="42">
        <v>965000.0</v>
      </c>
      <c r="O477" s="39">
        <f t="shared" si="82"/>
        <v>965000</v>
      </c>
      <c r="P477" s="36" t="str">
        <f>IF(AND((M477+N477)&gt;0,L477=0),"1",IF(AND((M477+N477)=0,L477=0),0,(M477+N477)/L477))</f>
        <v>1</v>
      </c>
      <c r="Q477" s="38"/>
      <c r="R477" s="36" t="s">
        <v>1243</v>
      </c>
      <c r="S477" s="38" t="s">
        <v>1105</v>
      </c>
      <c r="T477" s="38" t="s">
        <v>1112</v>
      </c>
      <c r="U477" s="36" t="str">
        <f t="shared" si="83"/>
        <v>1. Easy</v>
      </c>
      <c r="V477" s="38" t="s">
        <v>1991</v>
      </c>
      <c r="W477" s="38" t="s">
        <v>1108</v>
      </c>
    </row>
    <row r="478" ht="15.75" customHeight="1">
      <c r="A478" s="35" t="s">
        <v>481</v>
      </c>
      <c r="B478" s="36" t="s">
        <v>1804</v>
      </c>
      <c r="C478" s="35" t="s">
        <v>1805</v>
      </c>
      <c r="D478" s="35" t="s">
        <v>1256</v>
      </c>
      <c r="E478" s="36" t="s">
        <v>1992</v>
      </c>
      <c r="F478" s="36"/>
      <c r="G478" s="36" t="str">
        <f t="shared" ref="G478:G480" si="84">IF(J478&lt;&gt;"CARB", "yes", "CARB")</f>
        <v>CARB</v>
      </c>
      <c r="H478" s="37" t="s">
        <v>162</v>
      </c>
      <c r="I478" s="37" t="s">
        <v>1239</v>
      </c>
      <c r="J478" s="38" t="s">
        <v>1116</v>
      </c>
      <c r="K478" s="42"/>
      <c r="L478" s="39"/>
      <c r="M478" s="39"/>
      <c r="N478" s="39"/>
      <c r="O478" s="38"/>
      <c r="P478" s="38" t="s">
        <v>1098</v>
      </c>
      <c r="Q478" s="38"/>
      <c r="R478" s="38"/>
      <c r="S478" s="36" t="s">
        <v>1100</v>
      </c>
      <c r="T478" s="38" t="s">
        <v>1112</v>
      </c>
      <c r="U478" s="36" t="str">
        <f t="shared" si="83"/>
        <v>Not Included</v>
      </c>
      <c r="V478" s="36" t="s">
        <v>1993</v>
      </c>
      <c r="W478" s="37" t="s">
        <v>1792</v>
      </c>
      <c r="X478" s="40"/>
      <c r="Y478" s="40"/>
      <c r="Z478" s="40"/>
      <c r="AA478" s="40"/>
      <c r="AB478" s="40"/>
      <c r="AC478" s="40"/>
      <c r="AD478" s="40"/>
      <c r="AE478" s="40"/>
      <c r="AF478" s="40"/>
      <c r="AG478" s="40"/>
      <c r="AH478" s="40"/>
      <c r="AI478" s="40"/>
    </row>
    <row r="479" ht="15.75" customHeight="1">
      <c r="A479" s="36" t="s">
        <v>481</v>
      </c>
      <c r="B479" s="36" t="s">
        <v>1804</v>
      </c>
      <c r="C479" s="35" t="s">
        <v>1805</v>
      </c>
      <c r="D479" s="35" t="s">
        <v>1256</v>
      </c>
      <c r="E479" s="36" t="s">
        <v>776</v>
      </c>
      <c r="F479" s="36" t="s">
        <v>776</v>
      </c>
      <c r="G479" s="36" t="str">
        <f t="shared" si="84"/>
        <v>CARB</v>
      </c>
      <c r="H479" s="38" t="s">
        <v>162</v>
      </c>
      <c r="I479" s="38" t="s">
        <v>1432</v>
      </c>
      <c r="J479" s="38" t="s">
        <v>1116</v>
      </c>
      <c r="K479" s="42"/>
      <c r="L479" s="42"/>
      <c r="M479" s="38"/>
      <c r="N479" s="38"/>
      <c r="O479" s="38"/>
      <c r="P479" s="41" t="s">
        <v>1098</v>
      </c>
      <c r="Q479" s="38"/>
      <c r="R479" s="38"/>
      <c r="S479" s="38" t="s">
        <v>1105</v>
      </c>
      <c r="T479" s="38" t="s">
        <v>1112</v>
      </c>
      <c r="U479" s="38"/>
      <c r="V479" s="38"/>
      <c r="W479" s="38"/>
      <c r="AI479" s="53"/>
    </row>
    <row r="480" ht="15.75" customHeight="1">
      <c r="A480" s="36" t="s">
        <v>481</v>
      </c>
      <c r="B480" s="36" t="s">
        <v>1804</v>
      </c>
      <c r="C480" s="35" t="s">
        <v>1805</v>
      </c>
      <c r="D480" s="35" t="s">
        <v>1256</v>
      </c>
      <c r="E480" s="36" t="s">
        <v>779</v>
      </c>
      <c r="F480" s="36" t="s">
        <v>779</v>
      </c>
      <c r="G480" s="36" t="str">
        <f t="shared" si="84"/>
        <v>CARB</v>
      </c>
      <c r="H480" s="38" t="s">
        <v>162</v>
      </c>
      <c r="I480" s="38" t="s">
        <v>1685</v>
      </c>
      <c r="J480" s="38" t="s">
        <v>1116</v>
      </c>
      <c r="K480" s="42"/>
      <c r="L480" s="42"/>
      <c r="M480" s="38"/>
      <c r="N480" s="38"/>
      <c r="O480" s="38"/>
      <c r="P480" s="41" t="s">
        <v>1098</v>
      </c>
      <c r="Q480" s="38"/>
      <c r="R480" s="37"/>
      <c r="S480" s="38" t="s">
        <v>1105</v>
      </c>
      <c r="T480" s="38" t="s">
        <v>1112</v>
      </c>
      <c r="U480" s="38"/>
      <c r="V480" s="37"/>
      <c r="W480" s="37"/>
    </row>
    <row r="481" ht="15.75" customHeight="1">
      <c r="A481" s="35" t="s">
        <v>481</v>
      </c>
      <c r="B481" s="36" t="s">
        <v>1804</v>
      </c>
      <c r="C481" s="35" t="s">
        <v>1805</v>
      </c>
      <c r="D481" s="35" t="s">
        <v>1256</v>
      </c>
      <c r="E481" s="36" t="s">
        <v>1994</v>
      </c>
      <c r="F481" s="37"/>
      <c r="G481" s="36" t="s">
        <v>1116</v>
      </c>
      <c r="H481" s="37" t="s">
        <v>1139</v>
      </c>
      <c r="I481" s="37"/>
      <c r="J481" s="38"/>
      <c r="K481" s="42"/>
      <c r="L481" s="39"/>
      <c r="M481" s="39"/>
      <c r="N481" s="39"/>
      <c r="O481" s="39"/>
      <c r="P481" s="41" t="s">
        <v>1098</v>
      </c>
      <c r="Q481" s="39"/>
      <c r="R481" s="38"/>
      <c r="S481" s="36"/>
      <c r="T481" s="36"/>
      <c r="U481" s="38"/>
      <c r="V481" s="38" t="s">
        <v>1995</v>
      </c>
      <c r="W481" s="37" t="s">
        <v>1792</v>
      </c>
      <c r="X481" s="40"/>
      <c r="Y481" s="40"/>
      <c r="Z481" s="40"/>
      <c r="AA481" s="40"/>
      <c r="AB481" s="40"/>
      <c r="AC481" s="40"/>
      <c r="AD481" s="40"/>
      <c r="AE481" s="40"/>
      <c r="AF481" s="40"/>
      <c r="AG481" s="40"/>
      <c r="AH481" s="40"/>
      <c r="AI481" s="40"/>
    </row>
    <row r="482" ht="15.75" customHeight="1">
      <c r="A482" s="36" t="s">
        <v>481</v>
      </c>
      <c r="B482" s="36" t="s">
        <v>1804</v>
      </c>
      <c r="C482" s="35" t="s">
        <v>1805</v>
      </c>
      <c r="D482" s="35" t="s">
        <v>1256</v>
      </c>
      <c r="E482" s="36" t="s">
        <v>770</v>
      </c>
      <c r="F482" s="36" t="s">
        <v>770</v>
      </c>
      <c r="G482" s="36" t="s">
        <v>1116</v>
      </c>
      <c r="H482" s="37" t="s">
        <v>1097</v>
      </c>
      <c r="I482" s="37" t="s">
        <v>1463</v>
      </c>
      <c r="J482" s="38"/>
      <c r="K482" s="38"/>
      <c r="L482" s="42"/>
      <c r="M482" s="42"/>
      <c r="N482" s="42"/>
      <c r="O482" s="38"/>
      <c r="P482" s="41" t="s">
        <v>1098</v>
      </c>
      <c r="Q482" s="38"/>
      <c r="R482" s="37"/>
      <c r="S482" s="38" t="s">
        <v>1105</v>
      </c>
      <c r="T482" s="38" t="s">
        <v>1112</v>
      </c>
      <c r="U482" s="38"/>
      <c r="V482" s="37"/>
      <c r="W482" s="37"/>
      <c r="AI482" s="50"/>
    </row>
    <row r="483" ht="15.75" customHeight="1">
      <c r="A483" s="36" t="s">
        <v>481</v>
      </c>
      <c r="B483" s="36" t="s">
        <v>1804</v>
      </c>
      <c r="C483" s="35" t="s">
        <v>1805</v>
      </c>
      <c r="D483" s="35" t="s">
        <v>1256</v>
      </c>
      <c r="E483" s="36" t="s">
        <v>817</v>
      </c>
      <c r="F483" s="36" t="s">
        <v>817</v>
      </c>
      <c r="G483" s="36" t="s">
        <v>1116</v>
      </c>
      <c r="H483" s="37" t="s">
        <v>1139</v>
      </c>
      <c r="I483" s="37"/>
      <c r="J483" s="38"/>
      <c r="K483" s="38"/>
      <c r="L483" s="42"/>
      <c r="M483" s="38"/>
      <c r="N483" s="38"/>
      <c r="O483" s="38"/>
      <c r="P483" s="41" t="s">
        <v>1098</v>
      </c>
      <c r="Q483" s="38"/>
      <c r="R483" s="37"/>
      <c r="S483" s="38"/>
      <c r="T483" s="38"/>
      <c r="U483" s="38"/>
      <c r="V483" s="37"/>
      <c r="W483" s="37"/>
    </row>
    <row r="484" ht="15.75" customHeight="1">
      <c r="A484" s="36" t="s">
        <v>481</v>
      </c>
      <c r="B484" s="36" t="s">
        <v>1804</v>
      </c>
      <c r="C484" s="35" t="s">
        <v>1805</v>
      </c>
      <c r="D484" s="35" t="s">
        <v>1256</v>
      </c>
      <c r="E484" s="36" t="s">
        <v>838</v>
      </c>
      <c r="F484" s="36" t="s">
        <v>838</v>
      </c>
      <c r="G484" s="36" t="s">
        <v>1116</v>
      </c>
      <c r="H484" s="37" t="s">
        <v>1139</v>
      </c>
      <c r="I484" s="37"/>
      <c r="J484" s="38"/>
      <c r="K484" s="38"/>
      <c r="L484" s="42"/>
      <c r="M484" s="38"/>
      <c r="N484" s="38"/>
      <c r="O484" s="38"/>
      <c r="P484" s="41" t="s">
        <v>1098</v>
      </c>
      <c r="Q484" s="38"/>
      <c r="R484" s="37"/>
      <c r="S484" s="38"/>
      <c r="T484" s="38"/>
      <c r="U484" s="38"/>
      <c r="V484" s="37"/>
      <c r="W484" s="37"/>
    </row>
    <row r="485" ht="15.75" customHeight="1">
      <c r="A485" s="36" t="s">
        <v>481</v>
      </c>
      <c r="B485" s="36" t="s">
        <v>1804</v>
      </c>
      <c r="C485" s="35" t="s">
        <v>1805</v>
      </c>
      <c r="D485" s="35" t="s">
        <v>1256</v>
      </c>
      <c r="E485" s="36" t="s">
        <v>769</v>
      </c>
      <c r="F485" s="36" t="s">
        <v>769</v>
      </c>
      <c r="G485" s="36" t="s">
        <v>1116</v>
      </c>
      <c r="H485" s="37" t="s">
        <v>1139</v>
      </c>
      <c r="I485" s="37"/>
      <c r="J485" s="38"/>
      <c r="K485" s="38"/>
      <c r="L485" s="42"/>
      <c r="M485" s="38"/>
      <c r="N485" s="38"/>
      <c r="O485" s="38"/>
      <c r="P485" s="41" t="s">
        <v>1098</v>
      </c>
      <c r="Q485" s="38"/>
      <c r="R485" s="37"/>
      <c r="S485" s="38"/>
      <c r="T485" s="38"/>
      <c r="U485" s="38"/>
      <c r="V485" s="37"/>
      <c r="W485" s="37"/>
    </row>
    <row r="486" ht="15.75" customHeight="1">
      <c r="A486" s="35" t="s">
        <v>481</v>
      </c>
      <c r="B486" s="36" t="s">
        <v>1804</v>
      </c>
      <c r="C486" s="35" t="s">
        <v>1805</v>
      </c>
      <c r="D486" s="35" t="s">
        <v>1256</v>
      </c>
      <c r="E486" s="36" t="s">
        <v>1996</v>
      </c>
      <c r="F486" s="37"/>
      <c r="G486" s="36" t="s">
        <v>1116</v>
      </c>
      <c r="H486" s="37" t="s">
        <v>1139</v>
      </c>
      <c r="I486" s="37"/>
      <c r="J486" s="38"/>
      <c r="K486" s="42"/>
      <c r="L486" s="39"/>
      <c r="M486" s="39"/>
      <c r="N486" s="39"/>
      <c r="O486" s="39"/>
      <c r="P486" s="41" t="s">
        <v>1098</v>
      </c>
      <c r="Q486" s="39"/>
      <c r="R486" s="38"/>
      <c r="S486" s="36"/>
      <c r="T486" s="36"/>
      <c r="U486" s="38"/>
      <c r="V486" s="38" t="s">
        <v>1997</v>
      </c>
      <c r="W486" s="37" t="s">
        <v>1792</v>
      </c>
      <c r="X486" s="40"/>
      <c r="Y486" s="40"/>
      <c r="Z486" s="40"/>
      <c r="AA486" s="40"/>
      <c r="AB486" s="40"/>
      <c r="AC486" s="40"/>
      <c r="AD486" s="40"/>
      <c r="AE486" s="40"/>
      <c r="AF486" s="40"/>
      <c r="AG486" s="40"/>
      <c r="AH486" s="40"/>
      <c r="AI486" s="40"/>
    </row>
    <row r="487" ht="15.75" customHeight="1">
      <c r="A487" s="36" t="s">
        <v>481</v>
      </c>
      <c r="B487" s="36" t="s">
        <v>1804</v>
      </c>
      <c r="C487" s="35" t="s">
        <v>1805</v>
      </c>
      <c r="D487" s="35" t="s">
        <v>1256</v>
      </c>
      <c r="E487" s="36" t="s">
        <v>799</v>
      </c>
      <c r="F487" s="36" t="s">
        <v>799</v>
      </c>
      <c r="G487" s="36" t="s">
        <v>1116</v>
      </c>
      <c r="H487" s="37" t="s">
        <v>1139</v>
      </c>
      <c r="I487" s="37" t="s">
        <v>1445</v>
      </c>
      <c r="J487" s="38"/>
      <c r="K487" s="38"/>
      <c r="L487" s="42"/>
      <c r="M487" s="38"/>
      <c r="N487" s="38"/>
      <c r="O487" s="38"/>
      <c r="P487" s="41" t="s">
        <v>1098</v>
      </c>
      <c r="Q487" s="38"/>
      <c r="R487" s="37"/>
      <c r="S487" s="38"/>
      <c r="T487" s="38"/>
      <c r="U487" s="38"/>
      <c r="V487" s="37"/>
      <c r="W487" s="37"/>
    </row>
    <row r="488" ht="15.75" customHeight="1">
      <c r="A488" s="36" t="s">
        <v>481</v>
      </c>
      <c r="B488" s="36" t="s">
        <v>1804</v>
      </c>
      <c r="C488" s="35" t="s">
        <v>1805</v>
      </c>
      <c r="D488" s="35" t="s">
        <v>1256</v>
      </c>
      <c r="E488" s="36" t="s">
        <v>532</v>
      </c>
      <c r="F488" s="36" t="s">
        <v>532</v>
      </c>
      <c r="G488" s="36" t="s">
        <v>1089</v>
      </c>
      <c r="H488" s="37" t="s">
        <v>1162</v>
      </c>
      <c r="I488" s="37" t="s">
        <v>1163</v>
      </c>
      <c r="J488" s="38"/>
      <c r="K488" s="42"/>
      <c r="L488" s="42">
        <v>500000.0</v>
      </c>
      <c r="M488" s="42">
        <v>0.0</v>
      </c>
      <c r="N488" s="42">
        <v>0.0</v>
      </c>
      <c r="O488" s="39">
        <f t="shared" ref="O488:O489" si="85">M488+N488</f>
        <v>0</v>
      </c>
      <c r="P488" s="36">
        <f>IF(AND((M488+N488)&gt;0,L488=0),"No Funding Goal",IF(AND((M488+N488)=0,L488=0),0,(M488+N488)/L488))</f>
        <v>0</v>
      </c>
      <c r="Q488" s="38"/>
      <c r="R488" s="38" t="s">
        <v>1564</v>
      </c>
      <c r="S488" s="38" t="s">
        <v>1105</v>
      </c>
      <c r="T488" s="38" t="s">
        <v>1112</v>
      </c>
      <c r="U488" s="36" t="str">
        <f t="shared" ref="U488:U489" si="86">IFS(
    P488="No Funding Goal","Not Included",
    P488="Not Applicable","Not Included",
    P488&gt;=0.75,"1. Easy",
    AND(P488&lt;0.75,P488&gt;=0.5),"2. Moderate",
    P488&lt;0.5,"3. Difficult"
)</f>
        <v>3. Difficult</v>
      </c>
      <c r="V488" s="38" t="s">
        <v>1998</v>
      </c>
      <c r="W488" s="38" t="s">
        <v>1612</v>
      </c>
    </row>
    <row r="489" ht="15.75" customHeight="1">
      <c r="A489" s="36" t="s">
        <v>481</v>
      </c>
      <c r="B489" s="36" t="s">
        <v>1804</v>
      </c>
      <c r="C489" s="35" t="s">
        <v>1805</v>
      </c>
      <c r="D489" s="35" t="s">
        <v>1256</v>
      </c>
      <c r="E489" s="36" t="s">
        <v>495</v>
      </c>
      <c r="F489" s="36" t="s">
        <v>495</v>
      </c>
      <c r="G489" s="36" t="s">
        <v>1089</v>
      </c>
      <c r="H489" s="38" t="s">
        <v>1117</v>
      </c>
      <c r="I489" s="38" t="s">
        <v>1999</v>
      </c>
      <c r="J489" s="38"/>
      <c r="K489" s="42"/>
      <c r="L489" s="42"/>
      <c r="M489" s="42"/>
      <c r="N489" s="42"/>
      <c r="O489" s="39">
        <f t="shared" si="85"/>
        <v>0</v>
      </c>
      <c r="P489" s="38" t="s">
        <v>1098</v>
      </c>
      <c r="Q489" s="38"/>
      <c r="R489" s="37" t="s">
        <v>1092</v>
      </c>
      <c r="S489" s="38" t="s">
        <v>1105</v>
      </c>
      <c r="T489" s="36" t="s">
        <v>1112</v>
      </c>
      <c r="U489" s="36" t="str">
        <f t="shared" si="86"/>
        <v>Not Included</v>
      </c>
      <c r="V489" s="38" t="s">
        <v>2000</v>
      </c>
      <c r="W489" s="38" t="s">
        <v>1612</v>
      </c>
    </row>
    <row r="490" ht="15.75" customHeight="1">
      <c r="A490" s="36" t="s">
        <v>481</v>
      </c>
      <c r="B490" s="36" t="s">
        <v>1804</v>
      </c>
      <c r="C490" s="35" t="s">
        <v>1805</v>
      </c>
      <c r="D490" s="35" t="s">
        <v>1256</v>
      </c>
      <c r="E490" s="36" t="s">
        <v>827</v>
      </c>
      <c r="F490" s="36" t="s">
        <v>827</v>
      </c>
      <c r="G490" s="36" t="s">
        <v>1116</v>
      </c>
      <c r="H490" s="38" t="s">
        <v>1139</v>
      </c>
      <c r="I490" s="38" t="s">
        <v>1446</v>
      </c>
      <c r="J490" s="38" t="s">
        <v>1447</v>
      </c>
      <c r="L490" s="42"/>
      <c r="M490" s="38"/>
      <c r="N490" s="38"/>
      <c r="O490" s="38"/>
      <c r="P490" s="41" t="s">
        <v>1098</v>
      </c>
      <c r="Q490" s="38"/>
      <c r="R490" s="37"/>
      <c r="S490" s="38"/>
      <c r="T490" s="38"/>
      <c r="U490" s="38"/>
      <c r="V490" s="37"/>
      <c r="W490" s="37"/>
    </row>
    <row r="491" ht="15.75" customHeight="1">
      <c r="A491" s="36" t="s">
        <v>481</v>
      </c>
      <c r="B491" s="36" t="s">
        <v>1804</v>
      </c>
      <c r="C491" s="35" t="s">
        <v>1805</v>
      </c>
      <c r="D491" s="35" t="s">
        <v>1256</v>
      </c>
      <c r="E491" s="36" t="s">
        <v>809</v>
      </c>
      <c r="F491" s="36" t="s">
        <v>809</v>
      </c>
      <c r="G491" s="36" t="s">
        <v>1116</v>
      </c>
      <c r="H491" s="37" t="s">
        <v>1139</v>
      </c>
      <c r="I491" s="37" t="s">
        <v>1217</v>
      </c>
      <c r="J491" s="38"/>
      <c r="K491" s="38"/>
      <c r="L491" s="42"/>
      <c r="M491" s="38"/>
      <c r="N491" s="38"/>
      <c r="O491" s="38"/>
      <c r="P491" s="41" t="s">
        <v>1098</v>
      </c>
      <c r="Q491" s="38"/>
      <c r="R491" s="37"/>
      <c r="S491" s="38"/>
      <c r="T491" s="38"/>
      <c r="U491" s="38"/>
      <c r="V491" s="37"/>
      <c r="W491" s="37"/>
    </row>
    <row r="492" ht="15.75" customHeight="1">
      <c r="A492" s="36" t="s">
        <v>481</v>
      </c>
      <c r="B492" s="36" t="s">
        <v>1804</v>
      </c>
      <c r="C492" s="35" t="s">
        <v>1805</v>
      </c>
      <c r="D492" s="35" t="s">
        <v>1256</v>
      </c>
      <c r="E492" s="36" t="s">
        <v>494</v>
      </c>
      <c r="F492" s="36" t="s">
        <v>494</v>
      </c>
      <c r="G492" s="36" t="s">
        <v>1089</v>
      </c>
      <c r="H492" s="38" t="s">
        <v>1117</v>
      </c>
      <c r="I492" s="38" t="s">
        <v>1214</v>
      </c>
      <c r="J492" s="38" t="s">
        <v>1775</v>
      </c>
      <c r="K492" s="42"/>
      <c r="L492" s="42"/>
      <c r="M492" s="42"/>
      <c r="N492" s="42"/>
      <c r="O492" s="39">
        <f t="shared" ref="O492:O513" si="87">M492+N492</f>
        <v>0</v>
      </c>
      <c r="P492" s="38" t="s">
        <v>1098</v>
      </c>
      <c r="Q492" s="38"/>
      <c r="R492" s="37" t="s">
        <v>1415</v>
      </c>
      <c r="S492" s="38" t="s">
        <v>1105</v>
      </c>
      <c r="T492" s="36" t="s">
        <v>1112</v>
      </c>
      <c r="U492" s="36" t="str">
        <f t="shared" ref="U492:U514" si="88">IFS(
    P492="No Funding Goal","Not Included",
    P492="Not Applicable","Not Included",
    P492&gt;=0.75,"1. Easy",
    AND(P492&lt;0.75,P492&gt;=0.5),"2. Moderate",
    P492&lt;0.5,"3. Difficult"
)</f>
        <v>Not Included</v>
      </c>
      <c r="V492" s="38" t="s">
        <v>2001</v>
      </c>
      <c r="W492" s="38" t="s">
        <v>1612</v>
      </c>
    </row>
    <row r="493" ht="15.75" customHeight="1">
      <c r="A493" s="36" t="s">
        <v>481</v>
      </c>
      <c r="B493" s="36" t="s">
        <v>1804</v>
      </c>
      <c r="C493" s="35" t="s">
        <v>1805</v>
      </c>
      <c r="D493" s="35" t="s">
        <v>1256</v>
      </c>
      <c r="E493" s="36" t="s">
        <v>525</v>
      </c>
      <c r="F493" s="36" t="s">
        <v>525</v>
      </c>
      <c r="G493" s="36" t="str">
        <f>IF(J493&lt;&gt;"CARB", "yes", "CARB")</f>
        <v>yes</v>
      </c>
      <c r="H493" s="38" t="s">
        <v>162</v>
      </c>
      <c r="I493" s="38" t="s">
        <v>1136</v>
      </c>
      <c r="J493" s="38"/>
      <c r="K493" s="42"/>
      <c r="L493" s="42"/>
      <c r="M493" s="42"/>
      <c r="N493" s="42"/>
      <c r="O493" s="39">
        <f t="shared" si="87"/>
        <v>0</v>
      </c>
      <c r="P493" s="38" t="s">
        <v>1098</v>
      </c>
      <c r="Q493" s="38"/>
      <c r="R493" s="38" t="s">
        <v>1092</v>
      </c>
      <c r="S493" s="38" t="s">
        <v>1100</v>
      </c>
      <c r="T493" s="38" t="s">
        <v>1112</v>
      </c>
      <c r="U493" s="36" t="str">
        <f t="shared" si="88"/>
        <v>Not Included</v>
      </c>
      <c r="V493" s="38" t="s">
        <v>2002</v>
      </c>
      <c r="W493" s="38" t="s">
        <v>1845</v>
      </c>
    </row>
    <row r="494" ht="15.75" customHeight="1">
      <c r="A494" s="36" t="s">
        <v>481</v>
      </c>
      <c r="B494" s="36" t="s">
        <v>1804</v>
      </c>
      <c r="C494" s="35" t="s">
        <v>1805</v>
      </c>
      <c r="D494" s="35" t="s">
        <v>1256</v>
      </c>
      <c r="E494" s="36" t="s">
        <v>515</v>
      </c>
      <c r="F494" s="36" t="s">
        <v>515</v>
      </c>
      <c r="G494" s="36" t="s">
        <v>1089</v>
      </c>
      <c r="H494" s="38" t="s">
        <v>153</v>
      </c>
      <c r="I494" s="38" t="s">
        <v>1241</v>
      </c>
      <c r="J494" s="38" t="s">
        <v>1241</v>
      </c>
      <c r="K494" s="42">
        <v>6800000.0</v>
      </c>
      <c r="L494" s="42">
        <v>6250000.0</v>
      </c>
      <c r="M494" s="42"/>
      <c r="N494" s="42">
        <v>0.0</v>
      </c>
      <c r="O494" s="39">
        <f t="shared" si="87"/>
        <v>0</v>
      </c>
      <c r="P494" s="36">
        <f>IF(AND((M494+N494)&gt;0,L494=0),"No Funding Goal",IF(AND((M494+N494)=0,L494=0),0,(M494+N494)/L494))</f>
        <v>0</v>
      </c>
      <c r="Q494" s="36"/>
      <c r="R494" s="36" t="s">
        <v>1243</v>
      </c>
      <c r="S494" s="38" t="s">
        <v>1093</v>
      </c>
      <c r="T494" s="38" t="s">
        <v>1094</v>
      </c>
      <c r="U494" s="36" t="str">
        <f t="shared" si="88"/>
        <v>3. Difficult</v>
      </c>
      <c r="V494" s="38"/>
      <c r="W494" s="38"/>
      <c r="X494" s="50"/>
      <c r="Y494" s="50"/>
      <c r="Z494" s="50"/>
      <c r="AA494" s="50"/>
      <c r="AB494" s="50"/>
      <c r="AC494" s="50"/>
      <c r="AD494" s="50"/>
      <c r="AE494" s="50"/>
      <c r="AF494" s="50"/>
      <c r="AG494" s="50"/>
      <c r="AH494" s="50"/>
    </row>
    <row r="495" ht="15.75" customHeight="1">
      <c r="A495" s="36" t="s">
        <v>538</v>
      </c>
      <c r="B495" s="36" t="s">
        <v>1086</v>
      </c>
      <c r="C495" s="35" t="s">
        <v>1087</v>
      </c>
      <c r="D495" s="35" t="s">
        <v>1088</v>
      </c>
      <c r="E495" s="36" t="s">
        <v>556</v>
      </c>
      <c r="F495" s="36" t="s">
        <v>556</v>
      </c>
      <c r="G495" s="37" t="s">
        <v>1089</v>
      </c>
      <c r="H495" s="38" t="s">
        <v>1257</v>
      </c>
      <c r="I495" s="38" t="s">
        <v>2003</v>
      </c>
      <c r="J495" s="38"/>
      <c r="K495" s="38"/>
      <c r="L495" s="42"/>
      <c r="M495" s="42"/>
      <c r="N495" s="42">
        <v>7300.0</v>
      </c>
      <c r="O495" s="39">
        <f t="shared" si="87"/>
        <v>7300</v>
      </c>
      <c r="P495" s="36" t="str">
        <f>IF(AND((M495+N495)&gt;0,L495=0),"1",IF(AND((M495+N495)=0,L495=0),0,(M495+N495)/L495))</f>
        <v>1</v>
      </c>
      <c r="Q495" s="36"/>
      <c r="R495" s="38"/>
      <c r="S495" s="38" t="s">
        <v>1105</v>
      </c>
      <c r="T495" s="36" t="s">
        <v>1112</v>
      </c>
      <c r="U495" s="36" t="str">
        <f t="shared" si="88"/>
        <v>1. Easy</v>
      </c>
      <c r="V495" s="38" t="s">
        <v>1925</v>
      </c>
      <c r="W495" s="38" t="s">
        <v>2004</v>
      </c>
    </row>
    <row r="496" ht="15.75" customHeight="1">
      <c r="A496" s="41" t="s">
        <v>696</v>
      </c>
      <c r="B496" s="35" t="s">
        <v>1548</v>
      </c>
      <c r="C496" s="35" t="s">
        <v>1549</v>
      </c>
      <c r="D496" s="35" t="s">
        <v>1271</v>
      </c>
      <c r="E496" s="36" t="s">
        <v>998</v>
      </c>
      <c r="F496" s="37"/>
      <c r="G496" s="38" t="s">
        <v>1089</v>
      </c>
      <c r="H496" s="38" t="s">
        <v>1257</v>
      </c>
      <c r="I496" s="38" t="s">
        <v>1265</v>
      </c>
      <c r="J496" s="38" t="s">
        <v>1700</v>
      </c>
      <c r="K496" s="39"/>
      <c r="L496" s="39"/>
      <c r="M496" s="56"/>
      <c r="N496" s="56">
        <v>800000.0</v>
      </c>
      <c r="O496" s="39">
        <f t="shared" si="87"/>
        <v>800000</v>
      </c>
      <c r="P496" s="36">
        <v>1.0</v>
      </c>
      <c r="Q496" s="36"/>
      <c r="R496" s="38" t="s">
        <v>1311</v>
      </c>
      <c r="S496" s="36" t="s">
        <v>1105</v>
      </c>
      <c r="T496" s="38" t="s">
        <v>1112</v>
      </c>
      <c r="U496" s="36" t="str">
        <f t="shared" si="88"/>
        <v>1. Easy</v>
      </c>
      <c r="V496" s="36" t="s">
        <v>1614</v>
      </c>
      <c r="W496" s="36" t="s">
        <v>1615</v>
      </c>
      <c r="X496" s="48"/>
      <c r="Y496" s="48"/>
      <c r="Z496" s="48"/>
      <c r="AA496" s="48"/>
      <c r="AB496" s="48"/>
      <c r="AC496" s="48"/>
      <c r="AD496" s="48"/>
      <c r="AE496" s="48"/>
      <c r="AF496" s="48"/>
      <c r="AG496" s="48"/>
      <c r="AH496" s="48"/>
      <c r="AI496" s="48"/>
    </row>
    <row r="497" ht="15.75" customHeight="1">
      <c r="A497" s="36" t="s">
        <v>481</v>
      </c>
      <c r="B497" s="36" t="s">
        <v>1804</v>
      </c>
      <c r="C497" s="35" t="s">
        <v>1805</v>
      </c>
      <c r="D497" s="35" t="s">
        <v>1256</v>
      </c>
      <c r="E497" s="36" t="s">
        <v>512</v>
      </c>
      <c r="F497" s="36" t="s">
        <v>512</v>
      </c>
      <c r="G497" s="36" t="s">
        <v>1089</v>
      </c>
      <c r="H497" s="38" t="s">
        <v>56</v>
      </c>
      <c r="I497" s="38" t="s">
        <v>1781</v>
      </c>
      <c r="J497" s="38"/>
      <c r="K497" s="42">
        <v>300000.0</v>
      </c>
      <c r="L497" s="42">
        <v>300000.0</v>
      </c>
      <c r="M497" s="42">
        <v>74585.0</v>
      </c>
      <c r="N497" s="42">
        <v>0.0</v>
      </c>
      <c r="O497" s="39">
        <f t="shared" si="87"/>
        <v>74585</v>
      </c>
      <c r="P497" s="36">
        <f t="shared" ref="P497:P499" si="89">IF(AND((M497+N497)&gt;0,L497=0),"No Funding Goal",IF(AND((M497+N497)=0,L497=0),0,(M497+N497)/L497))</f>
        <v>0.2486166667</v>
      </c>
      <c r="Q497" s="36"/>
      <c r="R497" s="38" t="s">
        <v>1092</v>
      </c>
      <c r="S497" s="38" t="s">
        <v>1093</v>
      </c>
      <c r="T497" s="38" t="s">
        <v>1286</v>
      </c>
      <c r="U497" s="36" t="str">
        <f t="shared" si="88"/>
        <v>3. Difficult</v>
      </c>
      <c r="V497" s="38" t="s">
        <v>2005</v>
      </c>
      <c r="W497" s="38" t="s">
        <v>1612</v>
      </c>
    </row>
    <row r="498" ht="128.25" customHeight="1">
      <c r="A498" s="36" t="s">
        <v>481</v>
      </c>
      <c r="B498" s="36" t="s">
        <v>1804</v>
      </c>
      <c r="C498" s="35" t="s">
        <v>1805</v>
      </c>
      <c r="D498" s="35" t="s">
        <v>1256</v>
      </c>
      <c r="E498" s="36" t="s">
        <v>511</v>
      </c>
      <c r="F498" s="36" t="s">
        <v>511</v>
      </c>
      <c r="G498" s="36" t="s">
        <v>1089</v>
      </c>
      <c r="H498" s="38" t="s">
        <v>52</v>
      </c>
      <c r="I498" s="38" t="s">
        <v>1285</v>
      </c>
      <c r="J498" s="38"/>
      <c r="K498" s="57">
        <v>800000.0</v>
      </c>
      <c r="L498" s="42">
        <v>6800000.0</v>
      </c>
      <c r="M498" s="42">
        <f>2980678.31-N498</f>
        <v>2302912.36</v>
      </c>
      <c r="N498" s="42">
        <v>677765.95</v>
      </c>
      <c r="O498" s="39">
        <f t="shared" si="87"/>
        <v>2980678.31</v>
      </c>
      <c r="P498" s="36">
        <f t="shared" si="89"/>
        <v>0.4383350456</v>
      </c>
      <c r="Q498" s="36"/>
      <c r="R498" s="38" t="s">
        <v>1092</v>
      </c>
      <c r="S498" s="38" t="s">
        <v>1093</v>
      </c>
      <c r="T498" s="38" t="s">
        <v>1286</v>
      </c>
      <c r="U498" s="36" t="str">
        <f t="shared" si="88"/>
        <v>3. Difficult</v>
      </c>
      <c r="V498" s="37"/>
      <c r="W498" s="36" t="s">
        <v>1531</v>
      </c>
    </row>
    <row r="499" ht="72.75" customHeight="1">
      <c r="A499" s="36" t="s">
        <v>481</v>
      </c>
      <c r="B499" s="36" t="s">
        <v>1804</v>
      </c>
      <c r="C499" s="35" t="s">
        <v>1805</v>
      </c>
      <c r="D499" s="35" t="s">
        <v>1256</v>
      </c>
      <c r="E499" s="36" t="s">
        <v>510</v>
      </c>
      <c r="F499" s="36" t="s">
        <v>510</v>
      </c>
      <c r="G499" s="36" t="s">
        <v>1089</v>
      </c>
      <c r="H499" s="38" t="s">
        <v>1430</v>
      </c>
      <c r="I499" s="38"/>
      <c r="J499" s="38"/>
      <c r="K499" s="42"/>
      <c r="L499" s="42">
        <v>4000000.0</v>
      </c>
      <c r="M499" s="42">
        <v>2760736.0</v>
      </c>
      <c r="N499" s="42"/>
      <c r="O499" s="39">
        <f t="shared" si="87"/>
        <v>2760736</v>
      </c>
      <c r="P499" s="36">
        <f t="shared" si="89"/>
        <v>0.690184</v>
      </c>
      <c r="Q499" s="36"/>
      <c r="R499" s="37" t="s">
        <v>1415</v>
      </c>
      <c r="S499" s="38" t="s">
        <v>1093</v>
      </c>
      <c r="T499" s="38" t="s">
        <v>1112</v>
      </c>
      <c r="U499" s="36" t="str">
        <f t="shared" si="88"/>
        <v>2. Moderate</v>
      </c>
      <c r="V499" s="38" t="s">
        <v>2006</v>
      </c>
      <c r="W499" s="38" t="s">
        <v>1612</v>
      </c>
    </row>
    <row r="500" ht="93.0" customHeight="1">
      <c r="A500" s="36" t="s">
        <v>481</v>
      </c>
      <c r="B500" s="36" t="s">
        <v>1804</v>
      </c>
      <c r="C500" s="35" t="s">
        <v>1805</v>
      </c>
      <c r="D500" s="35" t="s">
        <v>1256</v>
      </c>
      <c r="E500" s="36" t="s">
        <v>508</v>
      </c>
      <c r="F500" s="37"/>
      <c r="G500" s="37" t="s">
        <v>1089</v>
      </c>
      <c r="H500" s="37" t="s">
        <v>1090</v>
      </c>
      <c r="I500" s="59" t="s">
        <v>1312</v>
      </c>
      <c r="J500" s="38"/>
      <c r="K500" s="38"/>
      <c r="L500" s="39">
        <v>1.0E7</v>
      </c>
      <c r="M500" s="39"/>
      <c r="N500" s="39">
        <v>0.0</v>
      </c>
      <c r="O500" s="39">
        <f t="shared" si="87"/>
        <v>0</v>
      </c>
      <c r="P500" s="36">
        <f>IF(AND(N500&gt;0,L500=0),"No Funding Goal",IF(AND(N500=0,L500=0),0,N500/L500))</f>
        <v>0</v>
      </c>
      <c r="Q500" s="36"/>
      <c r="R500" s="36" t="s">
        <v>2007</v>
      </c>
      <c r="S500" s="36" t="s">
        <v>1093</v>
      </c>
      <c r="T500" s="38" t="s">
        <v>1094</v>
      </c>
      <c r="U500" s="36" t="str">
        <f t="shared" si="88"/>
        <v>3. Difficult</v>
      </c>
      <c r="V500" s="37"/>
      <c r="W500" s="37" t="s">
        <v>1803</v>
      </c>
      <c r="X500" s="40"/>
      <c r="Y500" s="40"/>
      <c r="Z500" s="40"/>
      <c r="AA500" s="40"/>
      <c r="AB500" s="40"/>
      <c r="AC500" s="40"/>
      <c r="AD500" s="40"/>
      <c r="AE500" s="40"/>
      <c r="AF500" s="40"/>
      <c r="AG500" s="40"/>
      <c r="AH500" s="40"/>
      <c r="AI500" s="40"/>
    </row>
    <row r="501" ht="54.0" customHeight="1">
      <c r="A501" s="36" t="s">
        <v>481</v>
      </c>
      <c r="B501" s="36" t="s">
        <v>1804</v>
      </c>
      <c r="C501" s="35" t="s">
        <v>1805</v>
      </c>
      <c r="D501" s="35" t="s">
        <v>1256</v>
      </c>
      <c r="E501" s="36" t="s">
        <v>506</v>
      </c>
      <c r="F501" s="36" t="s">
        <v>506</v>
      </c>
      <c r="G501" s="36" t="s">
        <v>1089</v>
      </c>
      <c r="H501" s="38" t="s">
        <v>1441</v>
      </c>
      <c r="I501" s="38"/>
      <c r="J501" s="38"/>
      <c r="K501" s="42">
        <v>300000.0</v>
      </c>
      <c r="L501" s="42">
        <v>415000.0</v>
      </c>
      <c r="M501" s="42">
        <f>79700-N501</f>
        <v>38200</v>
      </c>
      <c r="N501" s="42">
        <f>
41500
</f>
        <v>41500</v>
      </c>
      <c r="O501" s="39">
        <f t="shared" si="87"/>
        <v>79700</v>
      </c>
      <c r="P501" s="36">
        <f t="shared" ref="P501:P503" si="90">IF(AND((M501+N501)&gt;0,L501=0),"No Funding Goal",IF(AND((M501+N501)=0,L501=0),0,(M501+N501)/L501))</f>
        <v>0.1920481928</v>
      </c>
      <c r="Q501" s="36"/>
      <c r="R501" s="38" t="s">
        <v>1092</v>
      </c>
      <c r="S501" s="38" t="s">
        <v>1093</v>
      </c>
      <c r="T501" s="38" t="s">
        <v>1286</v>
      </c>
      <c r="U501" s="36" t="str">
        <f t="shared" si="88"/>
        <v>3. Difficult</v>
      </c>
      <c r="V501" s="38" t="s">
        <v>2008</v>
      </c>
      <c r="W501" s="38" t="s">
        <v>1612</v>
      </c>
    </row>
    <row r="502" ht="65.25" customHeight="1">
      <c r="A502" s="36" t="s">
        <v>481</v>
      </c>
      <c r="B502" s="36" t="s">
        <v>1804</v>
      </c>
      <c r="C502" s="35" t="s">
        <v>1805</v>
      </c>
      <c r="D502" s="35" t="s">
        <v>1256</v>
      </c>
      <c r="E502" s="36" t="s">
        <v>501</v>
      </c>
      <c r="F502" s="36" t="s">
        <v>501</v>
      </c>
      <c r="G502" s="36" t="s">
        <v>1089</v>
      </c>
      <c r="H502" s="38" t="s">
        <v>1784</v>
      </c>
      <c r="I502" s="38" t="s">
        <v>218</v>
      </c>
      <c r="J502" s="38"/>
      <c r="K502" s="42">
        <v>100000.0</v>
      </c>
      <c r="L502" s="42">
        <v>486627.1</v>
      </c>
      <c r="M502" s="42">
        <f>486627.1-N502</f>
        <v>386627.1</v>
      </c>
      <c r="N502" s="42">
        <v>100000.0</v>
      </c>
      <c r="O502" s="39">
        <f t="shared" si="87"/>
        <v>486627.1</v>
      </c>
      <c r="P502" s="36">
        <f t="shared" si="90"/>
        <v>1</v>
      </c>
      <c r="Q502" s="36"/>
      <c r="R502" s="38" t="s">
        <v>1311</v>
      </c>
      <c r="S502" s="38" t="s">
        <v>1093</v>
      </c>
      <c r="T502" s="38" t="s">
        <v>1094</v>
      </c>
      <c r="U502" s="36" t="str">
        <f t="shared" si="88"/>
        <v>1. Easy</v>
      </c>
      <c r="V502" s="38" t="s">
        <v>2009</v>
      </c>
      <c r="W502" s="38" t="s">
        <v>1612</v>
      </c>
      <c r="AI502" s="14"/>
    </row>
    <row r="503" ht="72.75" customHeight="1">
      <c r="A503" s="36" t="s">
        <v>481</v>
      </c>
      <c r="B503" s="36" t="s">
        <v>1804</v>
      </c>
      <c r="C503" s="35" t="s">
        <v>1805</v>
      </c>
      <c r="D503" s="35" t="s">
        <v>1256</v>
      </c>
      <c r="E503" s="36" t="s">
        <v>497</v>
      </c>
      <c r="F503" s="36" t="s">
        <v>497</v>
      </c>
      <c r="G503" s="36" t="s">
        <v>1089</v>
      </c>
      <c r="H503" s="38" t="s">
        <v>1784</v>
      </c>
      <c r="I503" s="38" t="s">
        <v>1104</v>
      </c>
      <c r="J503" s="38"/>
      <c r="K503" s="42">
        <v>20000.0</v>
      </c>
      <c r="L503" s="42">
        <v>670000.0</v>
      </c>
      <c r="M503" s="42">
        <f>268679.37-N503</f>
        <v>192012.42</v>
      </c>
      <c r="N503" s="42">
        <v>76666.95</v>
      </c>
      <c r="O503" s="39">
        <f t="shared" si="87"/>
        <v>268679.37</v>
      </c>
      <c r="P503" s="36">
        <f t="shared" si="90"/>
        <v>0.4010139851</v>
      </c>
      <c r="Q503" s="36"/>
      <c r="R503" s="38" t="s">
        <v>1092</v>
      </c>
      <c r="S503" s="38" t="s">
        <v>1093</v>
      </c>
      <c r="T503" s="38" t="s">
        <v>1286</v>
      </c>
      <c r="U503" s="36" t="str">
        <f t="shared" si="88"/>
        <v>3. Difficult</v>
      </c>
      <c r="V503" s="38" t="s">
        <v>2010</v>
      </c>
      <c r="W503" s="38" t="s">
        <v>1612</v>
      </c>
    </row>
    <row r="504" ht="80.25" customHeight="1">
      <c r="A504" s="36" t="s">
        <v>481</v>
      </c>
      <c r="B504" s="36" t="s">
        <v>1804</v>
      </c>
      <c r="C504" s="35" t="s">
        <v>1805</v>
      </c>
      <c r="D504" s="35" t="s">
        <v>1256</v>
      </c>
      <c r="E504" s="36" t="s">
        <v>483</v>
      </c>
      <c r="F504" s="36" t="s">
        <v>483</v>
      </c>
      <c r="G504" s="36" t="s">
        <v>1089</v>
      </c>
      <c r="H504" s="38" t="s">
        <v>1314</v>
      </c>
      <c r="I504" s="38" t="s">
        <v>1617</v>
      </c>
      <c r="J504" s="38"/>
      <c r="K504" s="38"/>
      <c r="L504" s="42"/>
      <c r="M504" s="42"/>
      <c r="N504" s="42"/>
      <c r="O504" s="39">
        <f t="shared" si="87"/>
        <v>0</v>
      </c>
      <c r="P504" s="36" t="s">
        <v>1098</v>
      </c>
      <c r="Q504" s="36"/>
      <c r="R504" s="38" t="s">
        <v>1092</v>
      </c>
      <c r="S504" s="38" t="s">
        <v>1105</v>
      </c>
      <c r="T504" s="36" t="s">
        <v>1112</v>
      </c>
      <c r="U504" s="36" t="str">
        <f t="shared" si="88"/>
        <v>Not Included</v>
      </c>
      <c r="V504" s="38" t="s">
        <v>2011</v>
      </c>
      <c r="W504" s="38" t="s">
        <v>1389</v>
      </c>
    </row>
    <row r="505" ht="60.0" customHeight="1">
      <c r="A505" s="36" t="s">
        <v>481</v>
      </c>
      <c r="B505" s="36" t="s">
        <v>1804</v>
      </c>
      <c r="C505" s="35" t="s">
        <v>1805</v>
      </c>
      <c r="D505" s="35" t="s">
        <v>1256</v>
      </c>
      <c r="E505" s="36" t="s">
        <v>516</v>
      </c>
      <c r="F505" s="36" t="s">
        <v>517</v>
      </c>
      <c r="G505" s="36" t="s">
        <v>1089</v>
      </c>
      <c r="H505" s="37" t="s">
        <v>1314</v>
      </c>
      <c r="I505" s="37" t="s">
        <v>41</v>
      </c>
      <c r="J505" s="38" t="s">
        <v>1198</v>
      </c>
      <c r="K505" s="42"/>
      <c r="L505" s="42">
        <v>1000000.0</v>
      </c>
      <c r="M505" s="42">
        <v>1000000.0</v>
      </c>
      <c r="N505" s="42"/>
      <c r="O505" s="39">
        <f t="shared" si="87"/>
        <v>1000000</v>
      </c>
      <c r="P505" s="36">
        <f t="shared" ref="P505:P506" si="91">IF(AND((M505+N505)&gt;0,L505=0),"No Funding Goal",IF(AND((M505+N505)=0,L505=0),0,(M505+N505)/L505))</f>
        <v>1</v>
      </c>
      <c r="Q505" s="36"/>
      <c r="R505" s="37" t="s">
        <v>1311</v>
      </c>
      <c r="S505" s="38" t="s">
        <v>1105</v>
      </c>
      <c r="T505" s="38" t="s">
        <v>1112</v>
      </c>
      <c r="U505" s="36" t="str">
        <f t="shared" si="88"/>
        <v>1. Easy</v>
      </c>
      <c r="V505" s="38" t="s">
        <v>2012</v>
      </c>
      <c r="W505" s="38" t="s">
        <v>1612</v>
      </c>
    </row>
    <row r="506" ht="63.75" customHeight="1">
      <c r="A506" s="36" t="s">
        <v>481</v>
      </c>
      <c r="B506" s="36" t="s">
        <v>1804</v>
      </c>
      <c r="C506" s="35" t="s">
        <v>1805</v>
      </c>
      <c r="D506" s="35" t="s">
        <v>1256</v>
      </c>
      <c r="E506" s="36" t="s">
        <v>514</v>
      </c>
      <c r="F506" s="36" t="s">
        <v>514</v>
      </c>
      <c r="G506" s="36" t="s">
        <v>1089</v>
      </c>
      <c r="H506" s="38" t="s">
        <v>1314</v>
      </c>
      <c r="I506" s="38" t="s">
        <v>41</v>
      </c>
      <c r="J506" s="38" t="s">
        <v>1881</v>
      </c>
      <c r="K506" s="38"/>
      <c r="L506" s="42">
        <v>150000.0</v>
      </c>
      <c r="M506" s="42"/>
      <c r="N506" s="42">
        <v>0.0</v>
      </c>
      <c r="O506" s="39">
        <f t="shared" si="87"/>
        <v>0</v>
      </c>
      <c r="P506" s="36">
        <f t="shared" si="91"/>
        <v>0</v>
      </c>
      <c r="Q506" s="36"/>
      <c r="R506" s="36" t="s">
        <v>1092</v>
      </c>
      <c r="S506" s="38" t="s">
        <v>1105</v>
      </c>
      <c r="T506" s="38" t="s">
        <v>1286</v>
      </c>
      <c r="U506" s="36" t="str">
        <f t="shared" si="88"/>
        <v>3. Difficult</v>
      </c>
      <c r="V506" s="38" t="s">
        <v>2013</v>
      </c>
      <c r="W506" s="38" t="s">
        <v>1612</v>
      </c>
    </row>
    <row r="507" ht="65.25" customHeight="1">
      <c r="A507" s="36" t="s">
        <v>481</v>
      </c>
      <c r="B507" s="36" t="s">
        <v>1804</v>
      </c>
      <c r="C507" s="35" t="s">
        <v>1805</v>
      </c>
      <c r="D507" s="35" t="s">
        <v>1256</v>
      </c>
      <c r="E507" s="36" t="s">
        <v>485</v>
      </c>
      <c r="F507" s="36" t="s">
        <v>485</v>
      </c>
      <c r="G507" s="36" t="s">
        <v>1089</v>
      </c>
      <c r="H507" s="37" t="s">
        <v>1097</v>
      </c>
      <c r="I507" s="37" t="s">
        <v>488</v>
      </c>
      <c r="J507" s="38"/>
      <c r="K507" s="38"/>
      <c r="L507" s="42"/>
      <c r="M507" s="42"/>
      <c r="N507" s="42"/>
      <c r="O507" s="39">
        <f t="shared" si="87"/>
        <v>0</v>
      </c>
      <c r="P507" s="38" t="s">
        <v>1098</v>
      </c>
      <c r="Q507" s="38"/>
      <c r="R507" s="37" t="s">
        <v>1092</v>
      </c>
      <c r="S507" s="38" t="s">
        <v>1105</v>
      </c>
      <c r="T507" s="38" t="s">
        <v>1112</v>
      </c>
      <c r="U507" s="36" t="str">
        <f t="shared" si="88"/>
        <v>Not Included</v>
      </c>
      <c r="V507" s="37"/>
      <c r="W507" s="37"/>
    </row>
    <row r="508" ht="63.0" customHeight="1">
      <c r="A508" s="36" t="s">
        <v>481</v>
      </c>
      <c r="B508" s="36" t="s">
        <v>1804</v>
      </c>
      <c r="C508" s="35" t="s">
        <v>1805</v>
      </c>
      <c r="D508" s="35" t="s">
        <v>1256</v>
      </c>
      <c r="E508" s="36" t="s">
        <v>531</v>
      </c>
      <c r="F508" s="36" t="s">
        <v>531</v>
      </c>
      <c r="G508" s="36" t="s">
        <v>1089</v>
      </c>
      <c r="H508" s="38" t="s">
        <v>1347</v>
      </c>
      <c r="I508" s="38" t="s">
        <v>1789</v>
      </c>
      <c r="J508" s="38"/>
      <c r="K508" s="42"/>
      <c r="L508" s="42"/>
      <c r="M508" s="42"/>
      <c r="N508" s="42"/>
      <c r="O508" s="39">
        <f t="shared" si="87"/>
        <v>0</v>
      </c>
      <c r="P508" s="36" t="s">
        <v>1098</v>
      </c>
      <c r="Q508" s="36"/>
      <c r="R508" s="38" t="s">
        <v>1092</v>
      </c>
      <c r="S508" s="38" t="s">
        <v>1105</v>
      </c>
      <c r="T508" s="38" t="s">
        <v>1112</v>
      </c>
      <c r="U508" s="36" t="str">
        <f t="shared" si="88"/>
        <v>Not Included</v>
      </c>
      <c r="V508" s="38" t="s">
        <v>2014</v>
      </c>
      <c r="W508" s="38" t="s">
        <v>1612</v>
      </c>
    </row>
    <row r="509" ht="56.25" customHeight="1">
      <c r="A509" s="36" t="s">
        <v>481</v>
      </c>
      <c r="B509" s="36" t="s">
        <v>1804</v>
      </c>
      <c r="C509" s="35" t="s">
        <v>1805</v>
      </c>
      <c r="D509" s="35" t="s">
        <v>1256</v>
      </c>
      <c r="E509" s="36" t="s">
        <v>503</v>
      </c>
      <c r="F509" s="36" t="s">
        <v>503</v>
      </c>
      <c r="G509" s="36" t="s">
        <v>1089</v>
      </c>
      <c r="H509" s="38" t="s">
        <v>1347</v>
      </c>
      <c r="I509" s="38" t="s">
        <v>1848</v>
      </c>
      <c r="J509" s="38"/>
      <c r="K509" s="38"/>
      <c r="L509" s="42"/>
      <c r="M509" s="42"/>
      <c r="N509" s="42"/>
      <c r="O509" s="39">
        <f t="shared" si="87"/>
        <v>0</v>
      </c>
      <c r="P509" s="36" t="s">
        <v>1098</v>
      </c>
      <c r="Q509" s="36"/>
      <c r="R509" s="38" t="s">
        <v>1092</v>
      </c>
      <c r="S509" s="38" t="s">
        <v>1105</v>
      </c>
      <c r="T509" s="38" t="s">
        <v>1112</v>
      </c>
      <c r="U509" s="36" t="str">
        <f t="shared" si="88"/>
        <v>Not Included</v>
      </c>
      <c r="V509" s="38" t="s">
        <v>2015</v>
      </c>
      <c r="W509" s="38" t="s">
        <v>1612</v>
      </c>
    </row>
    <row r="510" ht="74.25" customHeight="1">
      <c r="A510" s="36" t="s">
        <v>481</v>
      </c>
      <c r="B510" s="36" t="s">
        <v>1804</v>
      </c>
      <c r="C510" s="35" t="s">
        <v>1805</v>
      </c>
      <c r="D510" s="35" t="s">
        <v>1256</v>
      </c>
      <c r="E510" s="36" t="s">
        <v>519</v>
      </c>
      <c r="F510" s="36" t="s">
        <v>519</v>
      </c>
      <c r="G510" s="36" t="s">
        <v>1089</v>
      </c>
      <c r="H510" s="38" t="s">
        <v>1529</v>
      </c>
      <c r="I510" s="38"/>
      <c r="J510" s="38"/>
      <c r="K510" s="38"/>
      <c r="L510" s="42">
        <v>1000000.0</v>
      </c>
      <c r="M510" s="39">
        <v>404208.9</v>
      </c>
      <c r="N510" s="39"/>
      <c r="O510" s="39">
        <f t="shared" si="87"/>
        <v>404208.9</v>
      </c>
      <c r="P510" s="36">
        <f>IF(AND((M510+N510)&gt;0,L510=0),"No Funding Goal",IF(AND((M510+N510)=0,L510=0),0,(M510+N510)/L510))</f>
        <v>0.4042089</v>
      </c>
      <c r="Q510" s="36"/>
      <c r="R510" s="36" t="s">
        <v>1092</v>
      </c>
      <c r="S510" s="38" t="s">
        <v>1100</v>
      </c>
      <c r="T510" s="38" t="s">
        <v>1286</v>
      </c>
      <c r="U510" s="36" t="str">
        <f t="shared" si="88"/>
        <v>3. Difficult</v>
      </c>
      <c r="V510" s="36"/>
      <c r="W510" s="36" t="s">
        <v>1612</v>
      </c>
      <c r="X510" s="68"/>
      <c r="Y510" s="68"/>
      <c r="Z510" s="68"/>
      <c r="AA510" s="68"/>
      <c r="AB510" s="68"/>
      <c r="AC510" s="68"/>
      <c r="AD510" s="68"/>
      <c r="AE510" s="68"/>
      <c r="AF510" s="68"/>
      <c r="AG510" s="68"/>
      <c r="AH510" s="68"/>
    </row>
    <row r="511" ht="57.0" customHeight="1">
      <c r="A511" s="36" t="s">
        <v>481</v>
      </c>
      <c r="B511" s="36" t="s">
        <v>1804</v>
      </c>
      <c r="C511" s="35" t="s">
        <v>1805</v>
      </c>
      <c r="D511" s="35" t="s">
        <v>1256</v>
      </c>
      <c r="E511" s="36" t="s">
        <v>528</v>
      </c>
      <c r="F511" s="36" t="s">
        <v>528</v>
      </c>
      <c r="G511" s="36" t="s">
        <v>1089</v>
      </c>
      <c r="H511" s="38" t="s">
        <v>1533</v>
      </c>
      <c r="I511" s="38" t="s">
        <v>2016</v>
      </c>
      <c r="J511" s="38" t="s">
        <v>1984</v>
      </c>
      <c r="K511" s="42"/>
      <c r="L511" s="42"/>
      <c r="M511" s="42"/>
      <c r="N511" s="42"/>
      <c r="O511" s="39">
        <f t="shared" si="87"/>
        <v>0</v>
      </c>
      <c r="P511" s="38" t="s">
        <v>1098</v>
      </c>
      <c r="Q511" s="38"/>
      <c r="R511" s="36" t="s">
        <v>1092</v>
      </c>
      <c r="S511" s="38" t="s">
        <v>1100</v>
      </c>
      <c r="T511" s="36" t="s">
        <v>1112</v>
      </c>
      <c r="U511" s="36" t="str">
        <f t="shared" si="88"/>
        <v>Not Included</v>
      </c>
      <c r="V511" s="38" t="s">
        <v>2017</v>
      </c>
      <c r="W511" s="38" t="s">
        <v>1845</v>
      </c>
    </row>
    <row r="512" ht="62.25" customHeight="1">
      <c r="A512" s="36" t="s">
        <v>481</v>
      </c>
      <c r="B512" s="36" t="s">
        <v>1804</v>
      </c>
      <c r="C512" s="35" t="s">
        <v>1805</v>
      </c>
      <c r="D512" s="35" t="s">
        <v>1256</v>
      </c>
      <c r="E512" s="36" t="s">
        <v>507</v>
      </c>
      <c r="F512" s="37"/>
      <c r="G512" s="36" t="s">
        <v>1089</v>
      </c>
      <c r="H512" s="37" t="s">
        <v>1369</v>
      </c>
      <c r="I512" s="37" t="s">
        <v>1337</v>
      </c>
      <c r="J512" s="38"/>
      <c r="K512" s="42"/>
      <c r="L512" s="39">
        <v>1000000.0</v>
      </c>
      <c r="M512" s="39">
        <v>1000000.0</v>
      </c>
      <c r="N512" s="39"/>
      <c r="O512" s="39">
        <f t="shared" si="87"/>
        <v>1000000</v>
      </c>
      <c r="P512" s="36">
        <f t="shared" ref="P512:P513" si="92">IF(AND((M512+N512)&gt;0,L512=0),"No Funding Goal",IF(AND((M512+N512)=0,L512=0),0,(M512+N512)/L512))</f>
        <v>1</v>
      </c>
      <c r="Q512" s="36"/>
      <c r="R512" s="45" t="s">
        <v>1371</v>
      </c>
      <c r="S512" s="38" t="s">
        <v>1100</v>
      </c>
      <c r="T512" s="36" t="s">
        <v>1112</v>
      </c>
      <c r="U512" s="36" t="str">
        <f t="shared" si="88"/>
        <v>1. Easy</v>
      </c>
      <c r="V512" s="36" t="s">
        <v>2018</v>
      </c>
      <c r="W512" s="38" t="s">
        <v>1531</v>
      </c>
      <c r="X512" s="78"/>
      <c r="Y512" s="78"/>
      <c r="Z512" s="78"/>
      <c r="AA512" s="78"/>
      <c r="AB512" s="78"/>
      <c r="AC512" s="78"/>
      <c r="AD512" s="78"/>
      <c r="AE512" s="78"/>
      <c r="AF512" s="78"/>
      <c r="AG512" s="78"/>
      <c r="AH512" s="78"/>
      <c r="AI512" s="50"/>
    </row>
    <row r="513" ht="93.75" customHeight="1">
      <c r="A513" s="36" t="s">
        <v>481</v>
      </c>
      <c r="B513" s="36" t="s">
        <v>1804</v>
      </c>
      <c r="C513" s="35" t="s">
        <v>1805</v>
      </c>
      <c r="D513" s="35" t="s">
        <v>1256</v>
      </c>
      <c r="E513" s="36" t="s">
        <v>533</v>
      </c>
      <c r="F513" s="37"/>
      <c r="G513" s="36" t="s">
        <v>1089</v>
      </c>
      <c r="H513" s="37" t="s">
        <v>1369</v>
      </c>
      <c r="I513" s="37" t="s">
        <v>1370</v>
      </c>
      <c r="J513" s="38"/>
      <c r="K513" s="42"/>
      <c r="L513" s="39">
        <v>1000000.0</v>
      </c>
      <c r="M513" s="39">
        <v>1000000.0</v>
      </c>
      <c r="N513" s="39"/>
      <c r="O513" s="39">
        <f t="shared" si="87"/>
        <v>1000000</v>
      </c>
      <c r="P513" s="36">
        <f t="shared" si="92"/>
        <v>1</v>
      </c>
      <c r="Q513" s="36"/>
      <c r="R513" s="45" t="s">
        <v>1371</v>
      </c>
      <c r="S513" s="36" t="s">
        <v>1100</v>
      </c>
      <c r="T513" s="36" t="s">
        <v>1112</v>
      </c>
      <c r="U513" s="36" t="str">
        <f t="shared" si="88"/>
        <v>1. Easy</v>
      </c>
      <c r="V513" s="36" t="s">
        <v>2019</v>
      </c>
      <c r="W513" s="37" t="s">
        <v>1792</v>
      </c>
      <c r="X513" s="40"/>
      <c r="Y513" s="40"/>
      <c r="Z513" s="40"/>
      <c r="AA513" s="40"/>
      <c r="AB513" s="40"/>
      <c r="AC513" s="40"/>
      <c r="AD513" s="40"/>
      <c r="AE513" s="40"/>
      <c r="AF513" s="40"/>
      <c r="AG513" s="40"/>
      <c r="AH513" s="40"/>
      <c r="AI513" s="40"/>
    </row>
    <row r="514" ht="42.75" customHeight="1">
      <c r="A514" s="45" t="s">
        <v>481</v>
      </c>
      <c r="B514" s="45" t="s">
        <v>1804</v>
      </c>
      <c r="C514" s="35" t="s">
        <v>1805</v>
      </c>
      <c r="D514" s="35" t="s">
        <v>1256</v>
      </c>
      <c r="E514" s="49" t="s">
        <v>518</v>
      </c>
      <c r="F514" s="49" t="s">
        <v>518</v>
      </c>
      <c r="G514" s="48" t="s">
        <v>1167</v>
      </c>
      <c r="H514" s="40" t="s">
        <v>1145</v>
      </c>
      <c r="I514" s="40"/>
      <c r="J514" s="40"/>
      <c r="K514" s="73">
        <v>2640000.0</v>
      </c>
      <c r="L514" s="61">
        <v>0.0</v>
      </c>
      <c r="M514" s="61"/>
      <c r="N514" s="61">
        <v>0.0</v>
      </c>
      <c r="O514" s="45"/>
      <c r="P514" s="45" t="s">
        <v>1098</v>
      </c>
      <c r="Q514" s="45"/>
      <c r="R514" s="40"/>
      <c r="S514" s="45" t="s">
        <v>1100</v>
      </c>
      <c r="T514" s="40" t="s">
        <v>1106</v>
      </c>
      <c r="U514" s="36" t="str">
        <f t="shared" si="88"/>
        <v>Not Included</v>
      </c>
      <c r="V514" s="45" t="s">
        <v>2020</v>
      </c>
      <c r="W514" s="45"/>
      <c r="X514" s="68"/>
      <c r="Y514" s="68"/>
      <c r="Z514" s="68"/>
      <c r="AA514" s="68"/>
      <c r="AB514" s="68"/>
      <c r="AC514" s="68"/>
      <c r="AD514" s="68"/>
      <c r="AE514" s="68"/>
      <c r="AF514" s="68"/>
      <c r="AG514" s="68"/>
      <c r="AH514" s="68"/>
    </row>
    <row r="515" ht="15.75" customHeight="1">
      <c r="A515" s="49" t="s">
        <v>481</v>
      </c>
      <c r="B515" s="49" t="s">
        <v>1804</v>
      </c>
      <c r="C515" s="35" t="s">
        <v>1805</v>
      </c>
      <c r="D515" s="35" t="s">
        <v>1256</v>
      </c>
      <c r="E515" s="49" t="s">
        <v>489</v>
      </c>
      <c r="F515" s="49" t="s">
        <v>489</v>
      </c>
      <c r="G515" s="40" t="s">
        <v>1167</v>
      </c>
      <c r="H515" s="38" t="s">
        <v>153</v>
      </c>
      <c r="I515" s="48" t="s">
        <v>2021</v>
      </c>
      <c r="J515" s="48"/>
      <c r="K515" s="93"/>
      <c r="L515" s="93"/>
      <c r="M515" s="48"/>
      <c r="N515" s="48"/>
      <c r="O515" s="93"/>
      <c r="P515" s="93"/>
      <c r="Q515" s="93"/>
      <c r="R515" s="8"/>
      <c r="S515" s="48" t="s">
        <v>1093</v>
      </c>
      <c r="T515" s="40" t="s">
        <v>1968</v>
      </c>
      <c r="U515" s="47"/>
      <c r="V515" s="48"/>
      <c r="W515" s="48"/>
      <c r="X515" s="50"/>
      <c r="Y515" s="50"/>
      <c r="Z515" s="50"/>
      <c r="AA515" s="50"/>
      <c r="AB515" s="50"/>
      <c r="AC515" s="50"/>
      <c r="AD515" s="50"/>
      <c r="AE515" s="50"/>
      <c r="AF515" s="50"/>
      <c r="AG515" s="50"/>
      <c r="AH515" s="50"/>
    </row>
    <row r="516" ht="15.75" customHeight="1">
      <c r="A516" s="45" t="s">
        <v>481</v>
      </c>
      <c r="B516" s="45" t="s">
        <v>1804</v>
      </c>
      <c r="C516" s="35" t="s">
        <v>1805</v>
      </c>
      <c r="D516" s="35" t="s">
        <v>1256</v>
      </c>
      <c r="E516" s="49" t="s">
        <v>491</v>
      </c>
      <c r="F516" s="49" t="s">
        <v>491</v>
      </c>
      <c r="G516" s="40" t="s">
        <v>1167</v>
      </c>
      <c r="H516" s="38" t="s">
        <v>153</v>
      </c>
      <c r="I516" s="83" t="s">
        <v>2022</v>
      </c>
      <c r="J516" s="40"/>
      <c r="K516" s="73"/>
      <c r="L516" s="73"/>
      <c r="M516" s="40"/>
      <c r="N516" s="40"/>
      <c r="O516" s="73"/>
      <c r="P516" s="73"/>
      <c r="Q516" s="73"/>
      <c r="R516" s="8"/>
      <c r="S516" s="48" t="s">
        <v>1093</v>
      </c>
      <c r="T516" s="40" t="s">
        <v>1968</v>
      </c>
      <c r="U516" s="47"/>
      <c r="V516" s="8"/>
      <c r="W516" s="8"/>
      <c r="AI516" s="50"/>
    </row>
    <row r="517" ht="15.75" customHeight="1">
      <c r="A517" s="45" t="s">
        <v>481</v>
      </c>
      <c r="B517" s="45" t="s">
        <v>1804</v>
      </c>
      <c r="C517" s="35" t="s">
        <v>1805</v>
      </c>
      <c r="D517" s="35" t="s">
        <v>1256</v>
      </c>
      <c r="E517" s="49" t="s">
        <v>493</v>
      </c>
      <c r="F517" s="49" t="s">
        <v>493</v>
      </c>
      <c r="G517" s="40" t="s">
        <v>1167</v>
      </c>
      <c r="H517" s="38" t="s">
        <v>153</v>
      </c>
      <c r="I517" s="83" t="s">
        <v>2022</v>
      </c>
      <c r="J517" s="40"/>
      <c r="K517" s="73"/>
      <c r="L517" s="73"/>
      <c r="M517" s="40"/>
      <c r="N517" s="40"/>
      <c r="O517" s="73"/>
      <c r="P517" s="73"/>
      <c r="Q517" s="73"/>
      <c r="R517" s="8"/>
      <c r="S517" s="40" t="s">
        <v>1093</v>
      </c>
      <c r="T517" s="40" t="s">
        <v>1968</v>
      </c>
      <c r="U517" s="47"/>
      <c r="V517" s="8"/>
      <c r="W517" s="8"/>
    </row>
    <row r="518" ht="15.75" customHeight="1">
      <c r="A518" s="36" t="s">
        <v>481</v>
      </c>
      <c r="B518" s="36" t="s">
        <v>1804</v>
      </c>
      <c r="C518" s="35" t="s">
        <v>1805</v>
      </c>
      <c r="D518" s="35" t="s">
        <v>1256</v>
      </c>
      <c r="E518" s="36" t="s">
        <v>767</v>
      </c>
      <c r="F518" s="36" t="s">
        <v>768</v>
      </c>
      <c r="G518" s="37" t="s">
        <v>1139</v>
      </c>
      <c r="H518" s="37" t="s">
        <v>1139</v>
      </c>
      <c r="I518" s="37"/>
      <c r="J518" s="38"/>
      <c r="K518" s="38"/>
      <c r="L518" s="42"/>
      <c r="M518" s="38"/>
      <c r="N518" s="38"/>
      <c r="O518" s="38"/>
      <c r="P518" s="38" t="s">
        <v>1098</v>
      </c>
      <c r="Q518" s="38"/>
      <c r="R518" s="37"/>
      <c r="S518" s="38"/>
      <c r="T518" s="38"/>
      <c r="U518" s="38"/>
      <c r="V518" s="37"/>
      <c r="W518" s="37"/>
    </row>
  </sheetData>
  <autoFilter ref="$A$1:$AI$518">
    <sortState ref="A1:AI518">
      <sortCondition ref="B1:B518"/>
      <sortCondition ref="D1:D518"/>
      <sortCondition ref="A1:A518"/>
      <sortCondition ref="Q1:Q518"/>
      <sortCondition ref="G1:G518"/>
      <sortCondition ref="E1:E518"/>
      <sortCondition ref="I1:I518"/>
      <sortCondition ref="J1:J518"/>
      <sortCondition ref="T1:T518"/>
      <sortCondition descending="1" ref="P1:P518"/>
      <sortCondition ref="F1:F518"/>
      <sortCondition descending="1" ref="N1:N518"/>
    </sortState>
  </autoFilter>
  <dataValidations>
    <dataValidation type="list" allowBlank="1" showErrorMessage="1" sqref="R2:R99 R101:R518">
      <formula1>"School Districts,CalTrans,City,County,Air District,Community Centers (libraries,senior centers +),Industry - Port,Industry - Agriculture,Industry - Small Businesses,Industry,California Office of Environmental Health Hazard Assessment,CARB,San Diego Associ"&amp;"ation of Governance,CHP,Local Utilities &amp; Transportation,Public Health Agency,DPR"</formula1>
    </dataValidation>
    <dataValidation type="list" allowBlank="1" showErrorMessage="1" sqref="S2:S189 S193:S195 S197 S200:S234 S236:S237 S243:S288 S290 S293 S297:S518">
      <formula1>"1. Emission Reduction,2. Exposure Mitigation,3. Community Investment"</formula1>
    </dataValidation>
    <dataValidation type="list" allowBlank="1" showErrorMessage="1" sqref="T2:T16 T18:T43 T45:T50 T52:T128 T130:T131 T137:T187 T190:T196 T198:T236 T238:T285 T289:T292 T294:T324 T333:T377 T379:T380 T382:T387 T391 T394 T402:T460 T471:T482 T486 T488:T489 T492:T517">
      <formula1>"1. Public Agencies,2. Community Members,3. Industries"</formula1>
    </dataValidation>
  </dataValidations>
  <hyperlinks>
    <hyperlink r:id="rId1" ref="V205"/>
    <hyperlink r:id="rId2" ref="V304"/>
    <hyperlink r:id="rId3" ref="V305"/>
    <hyperlink r:id="rId4" ref="V306"/>
    <hyperlink r:id="rId5" ref="V307"/>
    <hyperlink r:id="rId6" ref="V309"/>
    <hyperlink r:id="rId7" location="gid=0" ref="V312"/>
    <hyperlink r:id="rId8" ref="V324"/>
    <hyperlink r:id="rId9" ref="V334"/>
    <hyperlink r:id="rId10" ref="E346"/>
    <hyperlink r:id="rId11" ref="F346"/>
    <hyperlink r:id="rId12" ref="V349"/>
    <hyperlink r:id="rId13" ref="V426"/>
    <hyperlink r:id="rId14" location="=71" ref="V427"/>
    <hyperlink r:id="rId15" ref="V441"/>
    <hyperlink r:id="rId16" ref="V442"/>
    <hyperlink r:id="rId17" ref="V448"/>
    <hyperlink r:id="rId18" ref="V449"/>
  </hyperlinks>
  <printOptions/>
  <pageMargins bottom="1.0" footer="0.0" header="0.0" left="0.75" right="0.75" top="1.0"/>
  <pageSetup orientation="landscape"/>
  <drawing r:id="rId1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2025-03-27T18:13:28Z</dcterms:created>
  <dc:creator>openpyxl</dc:creator>
</cp:coreProperties>
</file>